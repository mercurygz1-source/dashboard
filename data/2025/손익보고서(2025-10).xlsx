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2025년\원가손익\202511\00_보고서\"/>
    </mc:Choice>
  </mc:AlternateContent>
  <xr:revisionPtr revIDLastSave="0" documentId="13_ncr:1_{E0144E8D-09EF-4465-8C92-9BCA3E0FD1E7}" xr6:coauthVersionLast="36" xr6:coauthVersionMax="36" xr10:uidLastSave="{00000000-0000-0000-0000-000000000000}"/>
  <bookViews>
    <workbookView xWindow="480" yWindow="75" windowWidth="27975" windowHeight="12495" activeTab="6" xr2:uid="{00000000-000D-0000-FFFF-FFFF00000000}"/>
  </bookViews>
  <sheets>
    <sheet name="표지" sheetId="24" r:id="rId1"/>
    <sheet name="손익총괄" sheetId="1" r:id="rId2"/>
    <sheet name="레미콘 영업이익" sheetId="37" r:id="rId3"/>
    <sheet name="사업장별(당월)" sheetId="2" r:id="rId4"/>
    <sheet name="사업장별(누계)" sheetId="31" r:id="rId5"/>
    <sheet name="사업장별(당월)_건자재제외" sheetId="32" r:id="rId6"/>
    <sheet name="사업장별(누계)_건자재제외" sheetId="33" r:id="rId7"/>
    <sheet name="영업이익" sheetId="25" r:id="rId8"/>
    <sheet name="공헌이익" sheetId="26" r:id="rId9"/>
    <sheet name="재료비단가" sheetId="27" r:id="rId10"/>
    <sheet name="원단위" sheetId="28" r:id="rId11"/>
    <sheet name="건자재" sheetId="34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ASSUMPTIONS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f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fdfdfd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edsd" localSheetId="11" hidden="1">{"Header",#N/A,TRUE,"Summary";"ProjectInfo",#N/A,TRUE,"Total Value"}</definedName>
    <definedName name="edsd" localSheetId="8" hidden="1">{"Header",#N/A,TRUE,"Summary";"ProjectInfo",#N/A,TRUE,"Total Value"}</definedName>
    <definedName name="edsd" localSheetId="7" hidden="1">{"Header",#N/A,TRUE,"Summary";"ProjectInfo",#N/A,TRUE,"Total Value"}</definedName>
    <definedName name="edsd" localSheetId="10" hidden="1">{"Header",#N/A,TRUE,"Summary";"ProjectInfo",#N/A,TRUE,"Total Value"}</definedName>
    <definedName name="edsd" localSheetId="9" hidden="1">{"Header",#N/A,TRUE,"Summary";"ProjectInfo",#N/A,TRUE,"Total Value"}</definedName>
    <definedName name="edsd" hidden="1">{"Header",#N/A,TRUE,"Summary";"ProjectInfo",#N/A,TRUE,"Total Value"}</definedName>
    <definedName name="ff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JHS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ijk" localSheetId="11" hidden="1">{"Header",#N/A,TRUE,"Summary";"ProjectInfo",#N/A,TRUE,"Total Value"}</definedName>
    <definedName name="jijk" localSheetId="8" hidden="1">{"Header",#N/A,TRUE,"Summary";"ProjectInfo",#N/A,TRUE,"Total Value"}</definedName>
    <definedName name="jijk" localSheetId="7" hidden="1">{"Header",#N/A,TRUE,"Summary";"ProjectInfo",#N/A,TRUE,"Total Value"}</definedName>
    <definedName name="jijk" localSheetId="10" hidden="1">{"Header",#N/A,TRUE,"Summary";"ProjectInfo",#N/A,TRUE,"Total Value"}</definedName>
    <definedName name="jijk" localSheetId="9" hidden="1">{"Header",#N/A,TRUE,"Summary";"ProjectInfo",#N/A,TRUE,"Total Value"}</definedName>
    <definedName name="jijk" hidden="1">{"Header",#N/A,TRUE,"Summary";"ProjectInfo",#N/A,TRUE,"Total Value"}</definedName>
    <definedName name="jjj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k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csq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k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_xlnm.Print_Area" localSheetId="11">건자재!$D$6:$O$34</definedName>
    <definedName name="_xlnm.Print_Area" localSheetId="8">공헌이익!$D$4:$V$29</definedName>
    <definedName name="_xlnm.Print_Area" localSheetId="2">'레미콘 영업이익'!$H$3:$AC$28</definedName>
    <definedName name="_xlnm.Print_Area" localSheetId="4">'사업장별(누계)'!$H$3:$AG$43</definedName>
    <definedName name="_xlnm.Print_Area" localSheetId="6">'사업장별(누계)_건자재제외'!$H$3:$AG$42</definedName>
    <definedName name="_xlnm.Print_Area" localSheetId="3">'사업장별(당월)'!$H$3:$AG$43</definedName>
    <definedName name="_xlnm.Print_Area" localSheetId="5">'사업장별(당월)_건자재제외'!$H$3:$AG$42</definedName>
    <definedName name="_xlnm.Print_Area" localSheetId="1">손익총괄!$C$3:$X$36</definedName>
    <definedName name="_xlnm.Print_Area" localSheetId="7">영업이익!$D$4:$W$29</definedName>
    <definedName name="_xlnm.Print_Area" localSheetId="10">원단위!$D$4:$V$29</definedName>
    <definedName name="_xlnm.Print_Area" localSheetId="9">재료비단가!$D$4:$V$29</definedName>
    <definedName name="sads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" localSheetId="11" hidden="1">{"Header",#N/A,TRUE,"Summary";"ProjectInfo",#N/A,TRUE,"Total Value"}</definedName>
    <definedName name="w" localSheetId="8" hidden="1">{"Header",#N/A,TRUE,"Summary";"ProjectInfo",#N/A,TRUE,"Total Value"}</definedName>
    <definedName name="w" localSheetId="7" hidden="1">{"Header",#N/A,TRUE,"Summary";"ProjectInfo",#N/A,TRUE,"Total Value"}</definedName>
    <definedName name="w" localSheetId="10" hidden="1">{"Header",#N/A,TRUE,"Summary";"ProjectInfo",#N/A,TRUE,"Total Value"}</definedName>
    <definedName name="w" localSheetId="9" hidden="1">{"Header",#N/A,TRUE,"Summary";"ProjectInfo",#N/A,TRUE,"Total Value"}</definedName>
    <definedName name="w" hidden="1">{"Header",#N/A,TRUE,"Summary";"ProjectInfo",#N/A,TRUE,"Total Value"}</definedName>
    <definedName name="wrn.iIMPRESSION._.DOC.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SummaryReport." localSheetId="11" hidden="1">{"Header",#N/A,TRUE,"Summary";"ProjectInfo",#N/A,TRUE,"Total Value"}</definedName>
    <definedName name="wrn.SummaryReport." localSheetId="8" hidden="1">{"Header",#N/A,TRUE,"Summary";"ProjectInfo",#N/A,TRUE,"Total Value"}</definedName>
    <definedName name="wrn.SummaryReport." localSheetId="7" hidden="1">{"Header",#N/A,TRUE,"Summary";"ProjectInfo",#N/A,TRUE,"Total Value"}</definedName>
    <definedName name="wrn.SummaryReport." localSheetId="10" hidden="1">{"Header",#N/A,TRUE,"Summary";"ProjectInfo",#N/A,TRUE,"Total Value"}</definedName>
    <definedName name="wrn.SummaryReport." localSheetId="9" hidden="1">{"Header",#N/A,TRUE,"Summary";"ProjectInfo",#N/A,TRUE,"Total Value"}</definedName>
    <definedName name="wrn.SummaryReport." hidden="1">{"Header",#N/A,TRUE,"Summary";"ProjectInfo",#N/A,TRUE,"Total Value"}</definedName>
    <definedName name="ww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ㅁㄴ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ㄴ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로호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ㄴㄴㅇ" localSheetId="11" hidden="1">{"Header",#N/A,TRUE,"Summary";"ProjectInfo",#N/A,TRUE,"Total Value"}</definedName>
    <definedName name="ㅁㄴㄴㅇ" localSheetId="8" hidden="1">{"Header",#N/A,TRUE,"Summary";"ProjectInfo",#N/A,TRUE,"Total Value"}</definedName>
    <definedName name="ㅁㄴㄴㅇ" localSheetId="7" hidden="1">{"Header",#N/A,TRUE,"Summary";"ProjectInfo",#N/A,TRUE,"Total Value"}</definedName>
    <definedName name="ㅁㄴㄴㅇ" localSheetId="10" hidden="1">{"Header",#N/A,TRUE,"Summary";"ProjectInfo",#N/A,TRUE,"Total Value"}</definedName>
    <definedName name="ㅁㄴㄴㅇ" localSheetId="9" hidden="1">{"Header",#N/A,TRUE,"Summary";"ProjectInfo",#N/A,TRUE,"Total Value"}</definedName>
    <definedName name="ㅁㄴㄴㅇ" hidden="1">{"Header",#N/A,TRUE,"Summary";"ProjectInfo",#N/A,TRUE,"Total Value"}</definedName>
    <definedName name="ㅁㅂㅁㅂㅂㅁㅁㅂ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ㅅ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ㅇㅇ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ㅈㅇ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ㅇ" localSheetId="11" hidden="1">{"Header",#N/A,TRUE,"Summary";"ProjectInfo",#N/A,TRUE,"Total Value"}</definedName>
    <definedName name="ㅈㅇ" localSheetId="8" hidden="1">{"Header",#N/A,TRUE,"Summary";"ProjectInfo",#N/A,TRUE,"Total Value"}</definedName>
    <definedName name="ㅈㅇ" localSheetId="7" hidden="1">{"Header",#N/A,TRUE,"Summary";"ProjectInfo",#N/A,TRUE,"Total Value"}</definedName>
    <definedName name="ㅈㅇ" localSheetId="10" hidden="1">{"Header",#N/A,TRUE,"Summary";"ProjectInfo",#N/A,TRUE,"Total Value"}</definedName>
    <definedName name="ㅈㅇ" localSheetId="9" hidden="1">{"Header",#N/A,TRUE,"Summary";"ProjectInfo",#N/A,TRUE,"Total Value"}</definedName>
    <definedName name="ㅈㅇ" hidden="1">{"Header",#N/A,TRUE,"Summary";"ProjectInfo",#N/A,TRUE,"Total Value"}</definedName>
    <definedName name="차이분서I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ㅏㅏㅏ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ㅣㅏㅣ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ㅗ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</definedNames>
  <calcPr calcId="191029"/>
</workbook>
</file>

<file path=xl/calcChain.xml><?xml version="1.0" encoding="utf-8"?>
<calcChain xmlns="http://schemas.openxmlformats.org/spreadsheetml/2006/main">
  <c r="AZ39" i="34" l="1"/>
  <c r="AZ38" i="34"/>
  <c r="AZ37" i="34"/>
  <c r="G36" i="34"/>
  <c r="G25" i="34"/>
  <c r="L25" i="34" s="1"/>
  <c r="G24" i="34"/>
  <c r="L24" i="34" s="1"/>
  <c r="G16" i="34"/>
  <c r="L16" i="34" s="1"/>
  <c r="G15" i="34"/>
  <c r="L15" i="34" s="1"/>
  <c r="G13" i="34"/>
  <c r="L13" i="34" s="1"/>
  <c r="G12" i="34"/>
  <c r="L12" i="34" s="1"/>
  <c r="G10" i="34"/>
  <c r="L10" i="34" s="1"/>
  <c r="AD27" i="32"/>
  <c r="AC27" i="32"/>
  <c r="AB27" i="32"/>
  <c r="AA27" i="32"/>
  <c r="Z27" i="32"/>
  <c r="Y27" i="32"/>
  <c r="AD26" i="32"/>
  <c r="AC26" i="32"/>
  <c r="AB26" i="32"/>
  <c r="AA26" i="32"/>
  <c r="Z26" i="32"/>
  <c r="Y26" i="32"/>
  <c r="AD25" i="32"/>
  <c r="AC25" i="32"/>
  <c r="AB25" i="32"/>
  <c r="AA25" i="32"/>
  <c r="Z25" i="32"/>
  <c r="Y25" i="32"/>
  <c r="AD24" i="32"/>
  <c r="AC24" i="32"/>
  <c r="AB24" i="32"/>
  <c r="AA24" i="32"/>
  <c r="Z24" i="32"/>
  <c r="Y24" i="32"/>
  <c r="AD23" i="32"/>
  <c r="AC23" i="32"/>
  <c r="AB23" i="32"/>
  <c r="AA23" i="32"/>
  <c r="Z23" i="32"/>
  <c r="Y23" i="32"/>
  <c r="AD22" i="32"/>
  <c r="AC22" i="32"/>
  <c r="AB22" i="32"/>
  <c r="AA22" i="32"/>
  <c r="Z22" i="32"/>
  <c r="Y22" i="32"/>
  <c r="AD21" i="32"/>
  <c r="AC21" i="32"/>
  <c r="AB21" i="32"/>
  <c r="AA21" i="32"/>
  <c r="Z21" i="32"/>
  <c r="Y21" i="32"/>
  <c r="AD20" i="32"/>
  <c r="AC20" i="32"/>
  <c r="AB20" i="32"/>
  <c r="AA20" i="32"/>
  <c r="Z20" i="32"/>
  <c r="Y20" i="32"/>
  <c r="AD19" i="32"/>
  <c r="AC19" i="32"/>
  <c r="AB19" i="32"/>
  <c r="AA19" i="32"/>
  <c r="Z19" i="32"/>
  <c r="Y19" i="32"/>
  <c r="AD18" i="32"/>
  <c r="AC18" i="32"/>
  <c r="AB18" i="32"/>
  <c r="AA18" i="32"/>
  <c r="Z18" i="32"/>
  <c r="Y18" i="32"/>
  <c r="AD17" i="32"/>
  <c r="AC17" i="32"/>
  <c r="AB17" i="32"/>
  <c r="AA17" i="32"/>
  <c r="Z17" i="32"/>
  <c r="Y17" i="32"/>
  <c r="AD16" i="32"/>
  <c r="AC16" i="32"/>
  <c r="AB16" i="32"/>
  <c r="AA16" i="32"/>
  <c r="Z16" i="32"/>
  <c r="Y16" i="32"/>
  <c r="AD15" i="32"/>
  <c r="AC15" i="32"/>
  <c r="AB15" i="32"/>
  <c r="AA15" i="32"/>
  <c r="Z15" i="32"/>
  <c r="Y15" i="32"/>
  <c r="AD14" i="32"/>
  <c r="AC14" i="32"/>
  <c r="AB14" i="32"/>
  <c r="AA14" i="32"/>
  <c r="Z14" i="32"/>
  <c r="Y14" i="32"/>
  <c r="AD13" i="32"/>
  <c r="AC13" i="32"/>
  <c r="AB13" i="32"/>
  <c r="AA13" i="32"/>
  <c r="Z13" i="32"/>
  <c r="Y13" i="32"/>
  <c r="AD12" i="32"/>
  <c r="AC12" i="32"/>
  <c r="AB12" i="32"/>
  <c r="AA12" i="32"/>
  <c r="Z12" i="32"/>
  <c r="Y12" i="32"/>
  <c r="AD11" i="32"/>
  <c r="AC11" i="32"/>
  <c r="AB11" i="32"/>
  <c r="AA11" i="32"/>
  <c r="Z11" i="32"/>
  <c r="Y11" i="32"/>
  <c r="AD10" i="32"/>
  <c r="AC10" i="32"/>
  <c r="AB10" i="32"/>
  <c r="AA10" i="32"/>
  <c r="Z10" i="32"/>
  <c r="Y10" i="32"/>
  <c r="AD9" i="32"/>
  <c r="AC9" i="32"/>
  <c r="AB9" i="32"/>
  <c r="AA9" i="32"/>
  <c r="Z9" i="32"/>
  <c r="Y9" i="32"/>
  <c r="AD8" i="32"/>
  <c r="AC8" i="32"/>
  <c r="AB8" i="32"/>
  <c r="AA8" i="32"/>
  <c r="Z8" i="32"/>
  <c r="Y8" i="32"/>
  <c r="AD7" i="32"/>
  <c r="AC7" i="32"/>
  <c r="AB7" i="32"/>
  <c r="AA7" i="32"/>
  <c r="Z7" i="32"/>
  <c r="Y7" i="32"/>
  <c r="AD27" i="33"/>
  <c r="AC27" i="33"/>
  <c r="AB27" i="33"/>
  <c r="AA27" i="33"/>
  <c r="Z27" i="33"/>
  <c r="Y27" i="33"/>
  <c r="AD26" i="33"/>
  <c r="AC26" i="33"/>
  <c r="AB26" i="33"/>
  <c r="AA26" i="33"/>
  <c r="Z26" i="33"/>
  <c r="Y26" i="33"/>
  <c r="AD25" i="33"/>
  <c r="AC25" i="33"/>
  <c r="AB25" i="33"/>
  <c r="AA25" i="33"/>
  <c r="Z25" i="33"/>
  <c r="Y25" i="33"/>
  <c r="AD24" i="33"/>
  <c r="AC24" i="33"/>
  <c r="AB24" i="33"/>
  <c r="AA24" i="33"/>
  <c r="Z24" i="33"/>
  <c r="Y24" i="33"/>
  <c r="AD23" i="33"/>
  <c r="AC23" i="33"/>
  <c r="AB23" i="33"/>
  <c r="AA23" i="33"/>
  <c r="Z23" i="33"/>
  <c r="Y23" i="33"/>
  <c r="AD22" i="33"/>
  <c r="AC22" i="33"/>
  <c r="AB22" i="33"/>
  <c r="AA22" i="33"/>
  <c r="Z22" i="33"/>
  <c r="Y22" i="33"/>
  <c r="AD21" i="33"/>
  <c r="AC21" i="33"/>
  <c r="AB21" i="33"/>
  <c r="AA21" i="33"/>
  <c r="Z21" i="33"/>
  <c r="Y21" i="33"/>
  <c r="AD20" i="33"/>
  <c r="AC20" i="33"/>
  <c r="AB20" i="33"/>
  <c r="AA20" i="33"/>
  <c r="Z20" i="33"/>
  <c r="Y20" i="33"/>
  <c r="AD19" i="33"/>
  <c r="AC19" i="33"/>
  <c r="AB19" i="33"/>
  <c r="AA19" i="33"/>
  <c r="Z19" i="33"/>
  <c r="Y19" i="33"/>
  <c r="AD18" i="33"/>
  <c r="AC18" i="33"/>
  <c r="AB18" i="33"/>
  <c r="AA18" i="33"/>
  <c r="Z18" i="33"/>
  <c r="Y18" i="33"/>
  <c r="AD17" i="33"/>
  <c r="AC17" i="33"/>
  <c r="AB17" i="33"/>
  <c r="AA17" i="33"/>
  <c r="Z17" i="33"/>
  <c r="Y17" i="33"/>
  <c r="AD16" i="33"/>
  <c r="AC16" i="33"/>
  <c r="AB16" i="33"/>
  <c r="AA16" i="33"/>
  <c r="Z16" i="33"/>
  <c r="Y16" i="33"/>
  <c r="AD15" i="33"/>
  <c r="AC15" i="33"/>
  <c r="AB15" i="33"/>
  <c r="AA15" i="33"/>
  <c r="Z15" i="33"/>
  <c r="Y15" i="33"/>
  <c r="AD14" i="33"/>
  <c r="AC14" i="33"/>
  <c r="AB14" i="33"/>
  <c r="AA14" i="33"/>
  <c r="Z14" i="33"/>
  <c r="Y14" i="33"/>
  <c r="AD13" i="33"/>
  <c r="AC13" i="33"/>
  <c r="AB13" i="33"/>
  <c r="AA13" i="33"/>
  <c r="Z13" i="33"/>
  <c r="Y13" i="33"/>
  <c r="AD12" i="33"/>
  <c r="AC12" i="33"/>
  <c r="AB12" i="33"/>
  <c r="AA12" i="33"/>
  <c r="Z12" i="33"/>
  <c r="Y12" i="33"/>
  <c r="AD11" i="33"/>
  <c r="AC11" i="33"/>
  <c r="AB11" i="33"/>
  <c r="AA11" i="33"/>
  <c r="Z11" i="33"/>
  <c r="Y11" i="33"/>
  <c r="AD10" i="33"/>
  <c r="AC10" i="33"/>
  <c r="AB10" i="33"/>
  <c r="AA10" i="33"/>
  <c r="Z10" i="33"/>
  <c r="Y10" i="33"/>
  <c r="AD9" i="33"/>
  <c r="AC9" i="33"/>
  <c r="AB9" i="33"/>
  <c r="AA9" i="33"/>
  <c r="Z9" i="33"/>
  <c r="Y9" i="33"/>
  <c r="AD8" i="33"/>
  <c r="AC8" i="33"/>
  <c r="AB8" i="33"/>
  <c r="AA8" i="33"/>
  <c r="Z8" i="33"/>
  <c r="Y8" i="33"/>
  <c r="AD7" i="33"/>
  <c r="AC7" i="33"/>
  <c r="AB7" i="33"/>
  <c r="AA7" i="33"/>
  <c r="Z7" i="33"/>
  <c r="Y7" i="33"/>
  <c r="W28" i="25"/>
  <c r="U28" i="25"/>
  <c r="T28" i="25"/>
  <c r="S28" i="25"/>
  <c r="Q28" i="25"/>
  <c r="P28" i="25"/>
  <c r="O28" i="25"/>
  <c r="M28" i="25"/>
  <c r="L28" i="25"/>
  <c r="K28" i="25"/>
  <c r="I28" i="25"/>
  <c r="H28" i="25"/>
  <c r="F28" i="25"/>
  <c r="E28" i="25"/>
  <c r="W27" i="25"/>
  <c r="U27" i="25"/>
  <c r="T27" i="25"/>
  <c r="S27" i="25"/>
  <c r="Q27" i="25"/>
  <c r="P27" i="25"/>
  <c r="O27" i="25"/>
  <c r="M27" i="25"/>
  <c r="L27" i="25"/>
  <c r="K27" i="25"/>
  <c r="I27" i="25"/>
  <c r="H27" i="25"/>
  <c r="F27" i="25"/>
  <c r="E27" i="25"/>
  <c r="W26" i="25"/>
  <c r="U26" i="25"/>
  <c r="T26" i="25"/>
  <c r="S26" i="25"/>
  <c r="Q26" i="25"/>
  <c r="P26" i="25"/>
  <c r="O26" i="25"/>
  <c r="M26" i="25"/>
  <c r="L26" i="25"/>
  <c r="K26" i="25"/>
  <c r="I26" i="25"/>
  <c r="H26" i="25"/>
  <c r="F26" i="25"/>
  <c r="E26" i="25"/>
  <c r="W25" i="25"/>
  <c r="U25" i="25"/>
  <c r="T25" i="25"/>
  <c r="S25" i="25"/>
  <c r="Q25" i="25"/>
  <c r="P25" i="25"/>
  <c r="O25" i="25"/>
  <c r="M25" i="25"/>
  <c r="L25" i="25"/>
  <c r="K25" i="25"/>
  <c r="I25" i="25"/>
  <c r="H25" i="25"/>
  <c r="F25" i="25"/>
  <c r="E25" i="25"/>
  <c r="W24" i="25"/>
  <c r="U24" i="25"/>
  <c r="T24" i="25"/>
  <c r="S24" i="25"/>
  <c r="Q24" i="25"/>
  <c r="P24" i="25"/>
  <c r="O24" i="25"/>
  <c r="M24" i="25"/>
  <c r="L24" i="25"/>
  <c r="K24" i="25"/>
  <c r="I24" i="25"/>
  <c r="H24" i="25"/>
  <c r="F24" i="25"/>
  <c r="E24" i="25"/>
  <c r="W23" i="25"/>
  <c r="U23" i="25"/>
  <c r="T23" i="25"/>
  <c r="S23" i="25"/>
  <c r="Q23" i="25"/>
  <c r="P23" i="25"/>
  <c r="O23" i="25"/>
  <c r="M23" i="25"/>
  <c r="L23" i="25"/>
  <c r="K23" i="25"/>
  <c r="I23" i="25"/>
  <c r="H23" i="25"/>
  <c r="F23" i="25"/>
  <c r="E23" i="25"/>
  <c r="W22" i="25"/>
  <c r="U22" i="25"/>
  <c r="T22" i="25"/>
  <c r="S22" i="25"/>
  <c r="Q22" i="25"/>
  <c r="P22" i="25"/>
  <c r="O22" i="25"/>
  <c r="M22" i="25"/>
  <c r="L22" i="25"/>
  <c r="K22" i="25"/>
  <c r="I22" i="25"/>
  <c r="H22" i="25"/>
  <c r="F22" i="25"/>
  <c r="E22" i="25"/>
  <c r="W21" i="25"/>
  <c r="U21" i="25"/>
  <c r="T21" i="25"/>
  <c r="S21" i="25"/>
  <c r="Q21" i="25"/>
  <c r="P21" i="25"/>
  <c r="O21" i="25"/>
  <c r="M21" i="25"/>
  <c r="L21" i="25"/>
  <c r="K21" i="25"/>
  <c r="I21" i="25"/>
  <c r="H21" i="25"/>
  <c r="F21" i="25"/>
  <c r="E21" i="25"/>
  <c r="W20" i="25"/>
  <c r="U20" i="25"/>
  <c r="T20" i="25"/>
  <c r="S20" i="25"/>
  <c r="Q20" i="25"/>
  <c r="P20" i="25"/>
  <c r="O20" i="25"/>
  <c r="M20" i="25"/>
  <c r="L20" i="25"/>
  <c r="K20" i="25"/>
  <c r="I20" i="25"/>
  <c r="H20" i="25"/>
  <c r="F20" i="25"/>
  <c r="E20" i="25"/>
  <c r="W19" i="25"/>
  <c r="U19" i="25"/>
  <c r="T19" i="25"/>
  <c r="S19" i="25"/>
  <c r="Q19" i="25"/>
  <c r="P19" i="25"/>
  <c r="O19" i="25"/>
  <c r="M19" i="25"/>
  <c r="L19" i="25"/>
  <c r="K19" i="25"/>
  <c r="I19" i="25"/>
  <c r="H19" i="25"/>
  <c r="F19" i="25"/>
  <c r="E19" i="25"/>
  <c r="W18" i="25"/>
  <c r="U18" i="25"/>
  <c r="T18" i="25"/>
  <c r="S18" i="25"/>
  <c r="Q18" i="25"/>
  <c r="P18" i="25"/>
  <c r="O18" i="25"/>
  <c r="M18" i="25"/>
  <c r="L18" i="25"/>
  <c r="K18" i="25"/>
  <c r="I18" i="25"/>
  <c r="H18" i="25"/>
  <c r="F18" i="25"/>
  <c r="E18" i="25"/>
  <c r="W17" i="25"/>
  <c r="U17" i="25"/>
  <c r="T17" i="25"/>
  <c r="S17" i="25"/>
  <c r="Q17" i="25"/>
  <c r="P17" i="25"/>
  <c r="O17" i="25"/>
  <c r="M17" i="25"/>
  <c r="L17" i="25"/>
  <c r="K17" i="25"/>
  <c r="I17" i="25"/>
  <c r="H17" i="25"/>
  <c r="F17" i="25"/>
  <c r="E17" i="25"/>
  <c r="W16" i="25"/>
  <c r="U16" i="25"/>
  <c r="T16" i="25"/>
  <c r="S16" i="25"/>
  <c r="Q16" i="25"/>
  <c r="P16" i="25"/>
  <c r="O16" i="25"/>
  <c r="M16" i="25"/>
  <c r="L16" i="25"/>
  <c r="K16" i="25"/>
  <c r="I16" i="25"/>
  <c r="H16" i="25"/>
  <c r="F16" i="25"/>
  <c r="E16" i="25"/>
  <c r="W15" i="25"/>
  <c r="U15" i="25"/>
  <c r="T15" i="25"/>
  <c r="S15" i="25"/>
  <c r="Q15" i="25"/>
  <c r="P15" i="25"/>
  <c r="O15" i="25"/>
  <c r="M15" i="25"/>
  <c r="L15" i="25"/>
  <c r="K15" i="25"/>
  <c r="I15" i="25"/>
  <c r="H15" i="25"/>
  <c r="F15" i="25"/>
  <c r="E15" i="25"/>
  <c r="W14" i="25"/>
  <c r="U14" i="25"/>
  <c r="T14" i="25"/>
  <c r="S14" i="25"/>
  <c r="Q14" i="25"/>
  <c r="P14" i="25"/>
  <c r="O14" i="25"/>
  <c r="M14" i="25"/>
  <c r="L14" i="25"/>
  <c r="K14" i="25"/>
  <c r="I14" i="25"/>
  <c r="H14" i="25"/>
  <c r="F14" i="25"/>
  <c r="E14" i="25"/>
  <c r="W13" i="25"/>
  <c r="U13" i="25"/>
  <c r="T13" i="25"/>
  <c r="S13" i="25"/>
  <c r="Q13" i="25"/>
  <c r="P13" i="25"/>
  <c r="O13" i="25"/>
  <c r="M13" i="25"/>
  <c r="L13" i="25"/>
  <c r="K13" i="25"/>
  <c r="I13" i="25"/>
  <c r="H13" i="25"/>
  <c r="F13" i="25"/>
  <c r="E13" i="25"/>
  <c r="W12" i="25"/>
  <c r="U12" i="25"/>
  <c r="T12" i="25"/>
  <c r="S12" i="25"/>
  <c r="Q12" i="25"/>
  <c r="P12" i="25"/>
  <c r="O12" i="25"/>
  <c r="M12" i="25"/>
  <c r="L12" i="25"/>
  <c r="K12" i="25"/>
  <c r="I12" i="25"/>
  <c r="H12" i="25"/>
  <c r="F12" i="25"/>
  <c r="E12" i="25"/>
  <c r="W11" i="25"/>
  <c r="U11" i="25"/>
  <c r="T11" i="25"/>
  <c r="S11" i="25"/>
  <c r="Q11" i="25"/>
  <c r="P11" i="25"/>
  <c r="O11" i="25"/>
  <c r="M11" i="25"/>
  <c r="L11" i="25"/>
  <c r="K11" i="25"/>
  <c r="I11" i="25"/>
  <c r="H11" i="25"/>
  <c r="F11" i="25"/>
  <c r="E11" i="25"/>
  <c r="W10" i="25"/>
  <c r="U10" i="25"/>
  <c r="T10" i="25"/>
  <c r="S10" i="25"/>
  <c r="Q10" i="25"/>
  <c r="P10" i="25"/>
  <c r="O10" i="25"/>
  <c r="M10" i="25"/>
  <c r="L10" i="25"/>
  <c r="K10" i="25"/>
  <c r="I10" i="25"/>
  <c r="H10" i="25"/>
  <c r="F10" i="25"/>
  <c r="E10" i="25"/>
  <c r="W9" i="25"/>
  <c r="U9" i="25"/>
  <c r="T9" i="25"/>
  <c r="S9" i="25"/>
  <c r="Q9" i="25"/>
  <c r="P9" i="25"/>
  <c r="O9" i="25"/>
  <c r="M9" i="25"/>
  <c r="L9" i="25"/>
  <c r="K9" i="25"/>
  <c r="I9" i="25"/>
  <c r="H9" i="25"/>
  <c r="F9" i="25"/>
  <c r="E9" i="25"/>
  <c r="W8" i="25"/>
  <c r="U8" i="25"/>
  <c r="T8" i="25"/>
  <c r="S8" i="25"/>
  <c r="Q8" i="25"/>
  <c r="P8" i="25"/>
  <c r="O8" i="25"/>
  <c r="M8" i="25"/>
  <c r="L8" i="25"/>
  <c r="K8" i="25"/>
  <c r="I8" i="25"/>
  <c r="H8" i="25"/>
  <c r="F8" i="25"/>
  <c r="E8" i="25"/>
  <c r="O28" i="26"/>
  <c r="N28" i="26"/>
  <c r="L28" i="26"/>
  <c r="K28" i="26"/>
  <c r="I28" i="26"/>
  <c r="H28" i="26"/>
  <c r="F28" i="26"/>
  <c r="E28" i="26"/>
  <c r="O27" i="26"/>
  <c r="N27" i="26"/>
  <c r="L27" i="26"/>
  <c r="K27" i="26"/>
  <c r="I27" i="26"/>
  <c r="H27" i="26"/>
  <c r="F27" i="26"/>
  <c r="E27" i="26"/>
  <c r="O26" i="26"/>
  <c r="N26" i="26"/>
  <c r="L26" i="26"/>
  <c r="K26" i="26"/>
  <c r="I26" i="26"/>
  <c r="H26" i="26"/>
  <c r="F26" i="26"/>
  <c r="E26" i="26"/>
  <c r="O25" i="26"/>
  <c r="N25" i="26"/>
  <c r="L25" i="26"/>
  <c r="K25" i="26"/>
  <c r="I25" i="26"/>
  <c r="H25" i="26"/>
  <c r="F25" i="26"/>
  <c r="E25" i="26"/>
  <c r="O24" i="26"/>
  <c r="N24" i="26"/>
  <c r="L24" i="26"/>
  <c r="K24" i="26"/>
  <c r="I24" i="26"/>
  <c r="H24" i="26"/>
  <c r="F24" i="26"/>
  <c r="E24" i="26"/>
  <c r="O23" i="26"/>
  <c r="N23" i="26"/>
  <c r="L23" i="26"/>
  <c r="K23" i="26"/>
  <c r="I23" i="26"/>
  <c r="H23" i="26"/>
  <c r="F23" i="26"/>
  <c r="E23" i="26"/>
  <c r="O22" i="26"/>
  <c r="N22" i="26"/>
  <c r="L22" i="26"/>
  <c r="K22" i="26"/>
  <c r="I22" i="26"/>
  <c r="H22" i="26"/>
  <c r="F22" i="26"/>
  <c r="E22" i="26"/>
  <c r="O21" i="26"/>
  <c r="N21" i="26"/>
  <c r="L21" i="26"/>
  <c r="K21" i="26"/>
  <c r="I21" i="26"/>
  <c r="H21" i="26"/>
  <c r="F21" i="26"/>
  <c r="E21" i="26"/>
  <c r="O20" i="26"/>
  <c r="N20" i="26"/>
  <c r="L20" i="26"/>
  <c r="K20" i="26"/>
  <c r="I20" i="26"/>
  <c r="H20" i="26"/>
  <c r="F20" i="26"/>
  <c r="E20" i="26"/>
  <c r="O19" i="26"/>
  <c r="N19" i="26"/>
  <c r="L19" i="26"/>
  <c r="K19" i="26"/>
  <c r="I19" i="26"/>
  <c r="H19" i="26"/>
  <c r="F19" i="26"/>
  <c r="E19" i="26"/>
  <c r="O18" i="26"/>
  <c r="N18" i="26"/>
  <c r="L18" i="26"/>
  <c r="K18" i="26"/>
  <c r="I18" i="26"/>
  <c r="H18" i="26"/>
  <c r="F18" i="26"/>
  <c r="E18" i="26"/>
  <c r="O17" i="26"/>
  <c r="N17" i="26"/>
  <c r="L17" i="26"/>
  <c r="K17" i="26"/>
  <c r="I17" i="26"/>
  <c r="H17" i="26"/>
  <c r="F17" i="26"/>
  <c r="E17" i="26"/>
  <c r="O16" i="26"/>
  <c r="N16" i="26"/>
  <c r="L16" i="26"/>
  <c r="K16" i="26"/>
  <c r="I16" i="26"/>
  <c r="H16" i="26"/>
  <c r="F16" i="26"/>
  <c r="E16" i="26"/>
  <c r="O15" i="26"/>
  <c r="N15" i="26"/>
  <c r="L15" i="26"/>
  <c r="K15" i="26"/>
  <c r="I15" i="26"/>
  <c r="H15" i="26"/>
  <c r="F15" i="26"/>
  <c r="E15" i="26"/>
  <c r="O14" i="26"/>
  <c r="N14" i="26"/>
  <c r="L14" i="26"/>
  <c r="K14" i="26"/>
  <c r="I14" i="26"/>
  <c r="H14" i="26"/>
  <c r="F14" i="26"/>
  <c r="E14" i="26"/>
  <c r="O13" i="26"/>
  <c r="N13" i="26"/>
  <c r="L13" i="26"/>
  <c r="K13" i="26"/>
  <c r="I13" i="26"/>
  <c r="H13" i="26"/>
  <c r="F13" i="26"/>
  <c r="E13" i="26"/>
  <c r="O12" i="26"/>
  <c r="N12" i="26"/>
  <c r="L12" i="26"/>
  <c r="K12" i="26"/>
  <c r="I12" i="26"/>
  <c r="H12" i="26"/>
  <c r="F12" i="26"/>
  <c r="E12" i="26"/>
  <c r="O11" i="26"/>
  <c r="N11" i="26"/>
  <c r="L11" i="26"/>
  <c r="K11" i="26"/>
  <c r="I11" i="26"/>
  <c r="H11" i="26"/>
  <c r="F11" i="26"/>
  <c r="E11" i="26"/>
  <c r="O10" i="26"/>
  <c r="N10" i="26"/>
  <c r="L10" i="26"/>
  <c r="K10" i="26"/>
  <c r="I10" i="26"/>
  <c r="H10" i="26"/>
  <c r="F10" i="26"/>
  <c r="E10" i="26"/>
  <c r="O9" i="26"/>
  <c r="N9" i="26"/>
  <c r="L9" i="26"/>
  <c r="K9" i="26"/>
  <c r="I9" i="26"/>
  <c r="H9" i="26"/>
  <c r="F9" i="26"/>
  <c r="E9" i="26"/>
  <c r="O8" i="26"/>
  <c r="N8" i="26"/>
  <c r="L8" i="26"/>
  <c r="K8" i="26"/>
  <c r="I8" i="26"/>
  <c r="H8" i="26"/>
  <c r="F8" i="26"/>
  <c r="E8" i="26"/>
  <c r="U28" i="27"/>
  <c r="T28" i="27"/>
  <c r="R28" i="27"/>
  <c r="Q28" i="27"/>
  <c r="O28" i="27"/>
  <c r="N28" i="27"/>
  <c r="L28" i="27"/>
  <c r="K28" i="27"/>
  <c r="I28" i="27"/>
  <c r="H28" i="27"/>
  <c r="F28" i="27"/>
  <c r="E28" i="27"/>
  <c r="U27" i="27"/>
  <c r="T27" i="27"/>
  <c r="R27" i="27"/>
  <c r="Q27" i="27"/>
  <c r="O27" i="27"/>
  <c r="N27" i="27"/>
  <c r="L27" i="27"/>
  <c r="K27" i="27"/>
  <c r="I27" i="27"/>
  <c r="H27" i="27"/>
  <c r="F27" i="27"/>
  <c r="E27" i="27"/>
  <c r="U26" i="27"/>
  <c r="T26" i="27"/>
  <c r="R26" i="27"/>
  <c r="Q26" i="27"/>
  <c r="O26" i="27"/>
  <c r="N26" i="27"/>
  <c r="L26" i="27"/>
  <c r="K26" i="27"/>
  <c r="I26" i="27"/>
  <c r="H26" i="27"/>
  <c r="F26" i="27"/>
  <c r="E26" i="27"/>
  <c r="U25" i="27"/>
  <c r="T25" i="27"/>
  <c r="R25" i="27"/>
  <c r="Q25" i="27"/>
  <c r="O25" i="27"/>
  <c r="N25" i="27"/>
  <c r="L25" i="27"/>
  <c r="K25" i="27"/>
  <c r="I25" i="27"/>
  <c r="H25" i="27"/>
  <c r="F25" i="27"/>
  <c r="E25" i="27"/>
  <c r="U24" i="27"/>
  <c r="T24" i="27"/>
  <c r="R24" i="27"/>
  <c r="Q24" i="27"/>
  <c r="O24" i="27"/>
  <c r="N24" i="27"/>
  <c r="L24" i="27"/>
  <c r="K24" i="27"/>
  <c r="I24" i="27"/>
  <c r="H24" i="27"/>
  <c r="F24" i="27"/>
  <c r="E24" i="27"/>
  <c r="U23" i="27"/>
  <c r="T23" i="27"/>
  <c r="R23" i="27"/>
  <c r="Q23" i="27"/>
  <c r="O23" i="27"/>
  <c r="N23" i="27"/>
  <c r="L23" i="27"/>
  <c r="K23" i="27"/>
  <c r="I23" i="27"/>
  <c r="H23" i="27"/>
  <c r="F23" i="27"/>
  <c r="E23" i="27"/>
  <c r="U22" i="27"/>
  <c r="T22" i="27"/>
  <c r="R22" i="27"/>
  <c r="Q22" i="27"/>
  <c r="O22" i="27"/>
  <c r="N22" i="27"/>
  <c r="L22" i="27"/>
  <c r="K22" i="27"/>
  <c r="I22" i="27"/>
  <c r="H22" i="27"/>
  <c r="F22" i="27"/>
  <c r="E22" i="27"/>
  <c r="U21" i="27"/>
  <c r="T21" i="27"/>
  <c r="R21" i="27"/>
  <c r="Q21" i="27"/>
  <c r="O21" i="27"/>
  <c r="N21" i="27"/>
  <c r="L21" i="27"/>
  <c r="K21" i="27"/>
  <c r="I21" i="27"/>
  <c r="H21" i="27"/>
  <c r="F21" i="27"/>
  <c r="E21" i="27"/>
  <c r="U20" i="27"/>
  <c r="T20" i="27"/>
  <c r="R20" i="27"/>
  <c r="Q20" i="27"/>
  <c r="O20" i="27"/>
  <c r="N20" i="27"/>
  <c r="L20" i="27"/>
  <c r="K20" i="27"/>
  <c r="I20" i="27"/>
  <c r="H20" i="27"/>
  <c r="F20" i="27"/>
  <c r="E20" i="27"/>
  <c r="U19" i="27"/>
  <c r="T19" i="27"/>
  <c r="R19" i="27"/>
  <c r="Q19" i="27"/>
  <c r="O19" i="27"/>
  <c r="N19" i="27"/>
  <c r="L19" i="27"/>
  <c r="K19" i="27"/>
  <c r="I19" i="27"/>
  <c r="H19" i="27"/>
  <c r="F19" i="27"/>
  <c r="E19" i="27"/>
  <c r="U18" i="27"/>
  <c r="T18" i="27"/>
  <c r="R18" i="27"/>
  <c r="Q18" i="27"/>
  <c r="O18" i="27"/>
  <c r="N18" i="27"/>
  <c r="L18" i="27"/>
  <c r="K18" i="27"/>
  <c r="I18" i="27"/>
  <c r="H18" i="27"/>
  <c r="F18" i="27"/>
  <c r="E18" i="27"/>
  <c r="U17" i="27"/>
  <c r="T17" i="27"/>
  <c r="R17" i="27"/>
  <c r="Q17" i="27"/>
  <c r="O17" i="27"/>
  <c r="N17" i="27"/>
  <c r="L17" i="27"/>
  <c r="K17" i="27"/>
  <c r="I17" i="27"/>
  <c r="H17" i="27"/>
  <c r="F17" i="27"/>
  <c r="E17" i="27"/>
  <c r="U16" i="27"/>
  <c r="T16" i="27"/>
  <c r="R16" i="27"/>
  <c r="Q16" i="27"/>
  <c r="O16" i="27"/>
  <c r="N16" i="27"/>
  <c r="L16" i="27"/>
  <c r="K16" i="27"/>
  <c r="I16" i="27"/>
  <c r="H16" i="27"/>
  <c r="F16" i="27"/>
  <c r="E16" i="27"/>
  <c r="U15" i="27"/>
  <c r="T15" i="27"/>
  <c r="R15" i="27"/>
  <c r="Q15" i="27"/>
  <c r="O15" i="27"/>
  <c r="N15" i="27"/>
  <c r="L15" i="27"/>
  <c r="K15" i="27"/>
  <c r="I15" i="27"/>
  <c r="H15" i="27"/>
  <c r="F15" i="27"/>
  <c r="E15" i="27"/>
  <c r="U14" i="27"/>
  <c r="T14" i="27"/>
  <c r="R14" i="27"/>
  <c r="Q14" i="27"/>
  <c r="O14" i="27"/>
  <c r="N14" i="27"/>
  <c r="L14" i="27"/>
  <c r="K14" i="27"/>
  <c r="I14" i="27"/>
  <c r="H14" i="27"/>
  <c r="F14" i="27"/>
  <c r="E14" i="27"/>
  <c r="U13" i="27"/>
  <c r="T13" i="27"/>
  <c r="R13" i="27"/>
  <c r="Q13" i="27"/>
  <c r="O13" i="27"/>
  <c r="N13" i="27"/>
  <c r="L13" i="27"/>
  <c r="K13" i="27"/>
  <c r="I13" i="27"/>
  <c r="H13" i="27"/>
  <c r="F13" i="27"/>
  <c r="E13" i="27"/>
  <c r="U12" i="27"/>
  <c r="T12" i="27"/>
  <c r="R12" i="27"/>
  <c r="Q12" i="27"/>
  <c r="O12" i="27"/>
  <c r="N12" i="27"/>
  <c r="L12" i="27"/>
  <c r="K12" i="27"/>
  <c r="I12" i="27"/>
  <c r="H12" i="27"/>
  <c r="F12" i="27"/>
  <c r="E12" i="27"/>
  <c r="U11" i="27"/>
  <c r="T11" i="27"/>
  <c r="R11" i="27"/>
  <c r="Q11" i="27"/>
  <c r="O11" i="27"/>
  <c r="N11" i="27"/>
  <c r="L11" i="27"/>
  <c r="K11" i="27"/>
  <c r="I11" i="27"/>
  <c r="H11" i="27"/>
  <c r="F11" i="27"/>
  <c r="E11" i="27"/>
  <c r="U10" i="27"/>
  <c r="T10" i="27"/>
  <c r="R10" i="27"/>
  <c r="Q10" i="27"/>
  <c r="O10" i="27"/>
  <c r="N10" i="27"/>
  <c r="L10" i="27"/>
  <c r="K10" i="27"/>
  <c r="I10" i="27"/>
  <c r="H10" i="27"/>
  <c r="F10" i="27"/>
  <c r="E10" i="27"/>
  <c r="U9" i="27"/>
  <c r="T9" i="27"/>
  <c r="R9" i="27"/>
  <c r="Q9" i="27"/>
  <c r="O9" i="27"/>
  <c r="N9" i="27"/>
  <c r="L9" i="27"/>
  <c r="K9" i="27"/>
  <c r="I9" i="27"/>
  <c r="H9" i="27"/>
  <c r="F9" i="27"/>
  <c r="E9" i="27"/>
  <c r="U8" i="27"/>
  <c r="T8" i="27"/>
  <c r="R8" i="27"/>
  <c r="Q8" i="27"/>
  <c r="O8" i="27"/>
  <c r="N8" i="27"/>
  <c r="L8" i="27"/>
  <c r="K8" i="27"/>
  <c r="I8" i="27"/>
  <c r="H8" i="27"/>
  <c r="F8" i="27"/>
  <c r="E8" i="27"/>
  <c r="U28" i="28"/>
  <c r="T28" i="28"/>
  <c r="R28" i="28"/>
  <c r="Q28" i="28"/>
  <c r="O28" i="28"/>
  <c r="N28" i="28"/>
  <c r="L28" i="28"/>
  <c r="K28" i="28"/>
  <c r="I28" i="28"/>
  <c r="H28" i="28"/>
  <c r="F28" i="28"/>
  <c r="E28" i="28"/>
  <c r="U27" i="28"/>
  <c r="T27" i="28"/>
  <c r="R27" i="28"/>
  <c r="Q27" i="28"/>
  <c r="O27" i="28"/>
  <c r="N27" i="28"/>
  <c r="L27" i="28"/>
  <c r="K27" i="28"/>
  <c r="I27" i="28"/>
  <c r="H27" i="28"/>
  <c r="F27" i="28"/>
  <c r="E27" i="28"/>
  <c r="U26" i="28"/>
  <c r="T26" i="28"/>
  <c r="R26" i="28"/>
  <c r="Q26" i="28"/>
  <c r="O26" i="28"/>
  <c r="N26" i="28"/>
  <c r="L26" i="28"/>
  <c r="K26" i="28"/>
  <c r="I26" i="28"/>
  <c r="H26" i="28"/>
  <c r="F26" i="28"/>
  <c r="E26" i="28"/>
  <c r="U25" i="28"/>
  <c r="T25" i="28"/>
  <c r="R25" i="28"/>
  <c r="Q25" i="28"/>
  <c r="O25" i="28"/>
  <c r="N25" i="28"/>
  <c r="L25" i="28"/>
  <c r="K25" i="28"/>
  <c r="I25" i="28"/>
  <c r="H25" i="28"/>
  <c r="F25" i="28"/>
  <c r="E25" i="28"/>
  <c r="U24" i="28"/>
  <c r="T24" i="28"/>
  <c r="R24" i="28"/>
  <c r="Q24" i="28"/>
  <c r="O24" i="28"/>
  <c r="N24" i="28"/>
  <c r="L24" i="28"/>
  <c r="K24" i="28"/>
  <c r="I24" i="28"/>
  <c r="H24" i="28"/>
  <c r="F24" i="28"/>
  <c r="E24" i="28"/>
  <c r="U23" i="28"/>
  <c r="T23" i="28"/>
  <c r="R23" i="28"/>
  <c r="Q23" i="28"/>
  <c r="O23" i="28"/>
  <c r="N23" i="28"/>
  <c r="L23" i="28"/>
  <c r="K23" i="28"/>
  <c r="I23" i="28"/>
  <c r="H23" i="28"/>
  <c r="F23" i="28"/>
  <c r="E23" i="28"/>
  <c r="U22" i="28"/>
  <c r="T22" i="28"/>
  <c r="R22" i="28"/>
  <c r="Q22" i="28"/>
  <c r="O22" i="28"/>
  <c r="N22" i="28"/>
  <c r="L22" i="28"/>
  <c r="K22" i="28"/>
  <c r="I22" i="28"/>
  <c r="H22" i="28"/>
  <c r="F22" i="28"/>
  <c r="E22" i="28"/>
  <c r="U21" i="28"/>
  <c r="T21" i="28"/>
  <c r="R21" i="28"/>
  <c r="Q21" i="28"/>
  <c r="O21" i="28"/>
  <c r="N21" i="28"/>
  <c r="L21" i="28"/>
  <c r="K21" i="28"/>
  <c r="I21" i="28"/>
  <c r="H21" i="28"/>
  <c r="F21" i="28"/>
  <c r="E21" i="28"/>
  <c r="U20" i="28"/>
  <c r="T20" i="28"/>
  <c r="R20" i="28"/>
  <c r="Q20" i="28"/>
  <c r="O20" i="28"/>
  <c r="N20" i="28"/>
  <c r="L20" i="28"/>
  <c r="K20" i="28"/>
  <c r="I20" i="28"/>
  <c r="H20" i="28"/>
  <c r="F20" i="28"/>
  <c r="E20" i="28"/>
  <c r="U19" i="28"/>
  <c r="T19" i="28"/>
  <c r="R19" i="28"/>
  <c r="Q19" i="28"/>
  <c r="O19" i="28"/>
  <c r="N19" i="28"/>
  <c r="L19" i="28"/>
  <c r="K19" i="28"/>
  <c r="I19" i="28"/>
  <c r="H19" i="28"/>
  <c r="F19" i="28"/>
  <c r="E19" i="28"/>
  <c r="U18" i="28"/>
  <c r="T18" i="28"/>
  <c r="R18" i="28"/>
  <c r="Q18" i="28"/>
  <c r="O18" i="28"/>
  <c r="N18" i="28"/>
  <c r="L18" i="28"/>
  <c r="K18" i="28"/>
  <c r="I18" i="28"/>
  <c r="H18" i="28"/>
  <c r="F18" i="28"/>
  <c r="E18" i="28"/>
  <c r="U17" i="28"/>
  <c r="T17" i="28"/>
  <c r="R17" i="28"/>
  <c r="Q17" i="28"/>
  <c r="O17" i="28"/>
  <c r="N17" i="28"/>
  <c r="L17" i="28"/>
  <c r="K17" i="28"/>
  <c r="I17" i="28"/>
  <c r="H17" i="28"/>
  <c r="F17" i="28"/>
  <c r="E17" i="28"/>
  <c r="U16" i="28"/>
  <c r="T16" i="28"/>
  <c r="R16" i="28"/>
  <c r="Q16" i="28"/>
  <c r="O16" i="28"/>
  <c r="N16" i="28"/>
  <c r="L16" i="28"/>
  <c r="K16" i="28"/>
  <c r="I16" i="28"/>
  <c r="H16" i="28"/>
  <c r="F16" i="28"/>
  <c r="E16" i="28"/>
  <c r="U15" i="28"/>
  <c r="T15" i="28"/>
  <c r="R15" i="28"/>
  <c r="Q15" i="28"/>
  <c r="O15" i="28"/>
  <c r="N15" i="28"/>
  <c r="L15" i="28"/>
  <c r="K15" i="28"/>
  <c r="I15" i="28"/>
  <c r="H15" i="28"/>
  <c r="F15" i="28"/>
  <c r="E15" i="28"/>
  <c r="U14" i="28"/>
  <c r="T14" i="28"/>
  <c r="R14" i="28"/>
  <c r="Q14" i="28"/>
  <c r="O14" i="28"/>
  <c r="N14" i="28"/>
  <c r="L14" i="28"/>
  <c r="K14" i="28"/>
  <c r="I14" i="28"/>
  <c r="H14" i="28"/>
  <c r="F14" i="28"/>
  <c r="E14" i="28"/>
  <c r="U13" i="28"/>
  <c r="T13" i="28"/>
  <c r="R13" i="28"/>
  <c r="Q13" i="28"/>
  <c r="O13" i="28"/>
  <c r="N13" i="28"/>
  <c r="L13" i="28"/>
  <c r="K13" i="28"/>
  <c r="I13" i="28"/>
  <c r="H13" i="28"/>
  <c r="F13" i="28"/>
  <c r="E13" i="28"/>
  <c r="U12" i="28"/>
  <c r="T12" i="28"/>
  <c r="R12" i="28"/>
  <c r="Q12" i="28"/>
  <c r="O12" i="28"/>
  <c r="N12" i="28"/>
  <c r="L12" i="28"/>
  <c r="K12" i="28"/>
  <c r="I12" i="28"/>
  <c r="H12" i="28"/>
  <c r="F12" i="28"/>
  <c r="E12" i="28"/>
  <c r="U11" i="28"/>
  <c r="T11" i="28"/>
  <c r="R11" i="28"/>
  <c r="Q11" i="28"/>
  <c r="O11" i="28"/>
  <c r="N11" i="28"/>
  <c r="L11" i="28"/>
  <c r="K11" i="28"/>
  <c r="I11" i="28"/>
  <c r="H11" i="28"/>
  <c r="F11" i="28"/>
  <c r="E11" i="28"/>
  <c r="U10" i="28"/>
  <c r="T10" i="28"/>
  <c r="R10" i="28"/>
  <c r="Q10" i="28"/>
  <c r="O10" i="28"/>
  <c r="N10" i="28"/>
  <c r="L10" i="28"/>
  <c r="K10" i="28"/>
  <c r="I10" i="28"/>
  <c r="H10" i="28"/>
  <c r="F10" i="28"/>
  <c r="E10" i="28"/>
  <c r="U9" i="28"/>
  <c r="T9" i="28"/>
  <c r="R9" i="28"/>
  <c r="Q9" i="28"/>
  <c r="O9" i="28"/>
  <c r="N9" i="28"/>
  <c r="L9" i="28"/>
  <c r="K9" i="28"/>
  <c r="I9" i="28"/>
  <c r="H9" i="28"/>
  <c r="F9" i="28"/>
  <c r="E9" i="28"/>
  <c r="U8" i="28"/>
  <c r="T8" i="28"/>
  <c r="R8" i="28"/>
  <c r="Q8" i="28"/>
  <c r="O8" i="28"/>
  <c r="N8" i="28"/>
  <c r="L8" i="28"/>
  <c r="K8" i="28"/>
  <c r="I8" i="28"/>
  <c r="H8" i="28"/>
  <c r="F8" i="28"/>
  <c r="E8" i="28"/>
  <c r="AD27" i="2"/>
  <c r="AC27" i="2"/>
  <c r="AB27" i="2"/>
  <c r="AA27" i="2"/>
  <c r="Z27" i="2"/>
  <c r="Y27" i="2"/>
  <c r="AD26" i="2"/>
  <c r="AC26" i="2"/>
  <c r="AB26" i="2"/>
  <c r="AA26" i="2"/>
  <c r="Z26" i="2"/>
  <c r="Y26" i="2"/>
  <c r="AD25" i="2"/>
  <c r="AC25" i="2"/>
  <c r="AB25" i="2"/>
  <c r="AA25" i="2"/>
  <c r="Z25" i="2"/>
  <c r="Y25" i="2"/>
  <c r="AD24" i="2"/>
  <c r="AC24" i="2"/>
  <c r="AB24" i="2"/>
  <c r="AA24" i="2"/>
  <c r="Z24" i="2"/>
  <c r="Y24" i="2"/>
  <c r="AD23" i="2"/>
  <c r="AC23" i="2"/>
  <c r="AB23" i="2"/>
  <c r="AA23" i="2"/>
  <c r="Z23" i="2"/>
  <c r="Y23" i="2"/>
  <c r="AD22" i="2"/>
  <c r="AC22" i="2"/>
  <c r="AB22" i="2"/>
  <c r="AA22" i="2"/>
  <c r="Z22" i="2"/>
  <c r="Y22" i="2"/>
  <c r="AD21" i="2"/>
  <c r="AC21" i="2"/>
  <c r="AB21" i="2"/>
  <c r="AA21" i="2"/>
  <c r="Z21" i="2"/>
  <c r="Y21" i="2"/>
  <c r="AD20" i="2"/>
  <c r="AC20" i="2"/>
  <c r="AB20" i="2"/>
  <c r="AA20" i="2"/>
  <c r="Z20" i="2"/>
  <c r="Y20" i="2"/>
  <c r="AD19" i="2"/>
  <c r="AC19" i="2"/>
  <c r="AB19" i="2"/>
  <c r="AA19" i="2"/>
  <c r="Z19" i="2"/>
  <c r="Y19" i="2"/>
  <c r="AD18" i="2"/>
  <c r="AC18" i="2"/>
  <c r="AB18" i="2"/>
  <c r="AA18" i="2"/>
  <c r="Z18" i="2"/>
  <c r="Y18" i="2"/>
  <c r="AD17" i="2"/>
  <c r="AC17" i="2"/>
  <c r="AB17" i="2"/>
  <c r="AA17" i="2"/>
  <c r="Z17" i="2"/>
  <c r="Y17" i="2"/>
  <c r="AD16" i="2"/>
  <c r="AC16" i="2"/>
  <c r="AB16" i="2"/>
  <c r="AA16" i="2"/>
  <c r="Z16" i="2"/>
  <c r="Y16" i="2"/>
  <c r="AD15" i="2"/>
  <c r="AC15" i="2"/>
  <c r="AB15" i="2"/>
  <c r="AA15" i="2"/>
  <c r="Z15" i="2"/>
  <c r="Y15" i="2"/>
  <c r="AD14" i="2"/>
  <c r="AC14" i="2"/>
  <c r="AB14" i="2"/>
  <c r="AA14" i="2"/>
  <c r="Z14" i="2"/>
  <c r="Y14" i="2"/>
  <c r="AD13" i="2"/>
  <c r="AC13" i="2"/>
  <c r="AB13" i="2"/>
  <c r="AA13" i="2"/>
  <c r="Z13" i="2"/>
  <c r="Y13" i="2"/>
  <c r="AD12" i="2"/>
  <c r="AC12" i="2"/>
  <c r="AB12" i="2"/>
  <c r="AA12" i="2"/>
  <c r="Z12" i="2"/>
  <c r="Y12" i="2"/>
  <c r="AD11" i="2"/>
  <c r="AC11" i="2"/>
  <c r="AB11" i="2"/>
  <c r="AA11" i="2"/>
  <c r="Z11" i="2"/>
  <c r="Y11" i="2"/>
  <c r="AD10" i="2"/>
  <c r="AC10" i="2"/>
  <c r="AB10" i="2"/>
  <c r="AA10" i="2"/>
  <c r="Z10" i="2"/>
  <c r="Y10" i="2"/>
  <c r="AD9" i="2"/>
  <c r="AC9" i="2"/>
  <c r="AB9" i="2"/>
  <c r="AA9" i="2"/>
  <c r="Z9" i="2"/>
  <c r="Y9" i="2"/>
  <c r="AD8" i="2"/>
  <c r="AC8" i="2"/>
  <c r="AB8" i="2"/>
  <c r="AA8" i="2"/>
  <c r="Z8" i="2"/>
  <c r="Y8" i="2"/>
  <c r="AD7" i="2"/>
  <c r="AC7" i="2"/>
  <c r="AB7" i="2"/>
  <c r="AA7" i="2"/>
  <c r="Z7" i="2"/>
  <c r="Y7" i="2"/>
  <c r="AD27" i="31"/>
  <c r="AC27" i="31"/>
  <c r="AB27" i="31"/>
  <c r="AA27" i="31"/>
  <c r="Z27" i="31"/>
  <c r="Y27" i="31"/>
  <c r="AD26" i="31"/>
  <c r="AC26" i="31"/>
  <c r="AB26" i="31"/>
  <c r="AA26" i="31"/>
  <c r="Z26" i="31"/>
  <c r="Y26" i="31"/>
  <c r="AD25" i="31"/>
  <c r="AC25" i="31"/>
  <c r="AB25" i="31"/>
  <c r="AA25" i="31"/>
  <c r="Z25" i="31"/>
  <c r="Y25" i="31"/>
  <c r="AD24" i="31"/>
  <c r="AC24" i="31"/>
  <c r="AB24" i="31"/>
  <c r="AA24" i="31"/>
  <c r="Z24" i="31"/>
  <c r="Y24" i="31"/>
  <c r="AD23" i="31"/>
  <c r="AC23" i="31"/>
  <c r="AB23" i="31"/>
  <c r="AA23" i="31"/>
  <c r="Z23" i="31"/>
  <c r="Y23" i="31"/>
  <c r="AD22" i="31"/>
  <c r="AC22" i="31"/>
  <c r="AB22" i="31"/>
  <c r="AA22" i="31"/>
  <c r="Z22" i="31"/>
  <c r="Y22" i="31"/>
  <c r="AD21" i="31"/>
  <c r="AC21" i="31"/>
  <c r="AB21" i="31"/>
  <c r="AA21" i="31"/>
  <c r="Z21" i="31"/>
  <c r="Y21" i="31"/>
  <c r="AD20" i="31"/>
  <c r="AC20" i="31"/>
  <c r="AB20" i="31"/>
  <c r="AA20" i="31"/>
  <c r="Z20" i="31"/>
  <c r="Y20" i="31"/>
  <c r="AD19" i="31"/>
  <c r="AC19" i="31"/>
  <c r="AB19" i="31"/>
  <c r="AA19" i="31"/>
  <c r="Z19" i="31"/>
  <c r="Y19" i="31"/>
  <c r="AD18" i="31"/>
  <c r="AC18" i="31"/>
  <c r="AB18" i="31"/>
  <c r="AA18" i="31"/>
  <c r="Z18" i="31"/>
  <c r="Y18" i="31"/>
  <c r="AD17" i="31"/>
  <c r="AC17" i="31"/>
  <c r="AB17" i="31"/>
  <c r="AA17" i="31"/>
  <c r="Z17" i="31"/>
  <c r="Y17" i="31"/>
  <c r="AD16" i="31"/>
  <c r="AC16" i="31"/>
  <c r="AB16" i="31"/>
  <c r="AA16" i="31"/>
  <c r="Z16" i="31"/>
  <c r="Y16" i="31"/>
  <c r="AD15" i="31"/>
  <c r="AC15" i="31"/>
  <c r="AB15" i="31"/>
  <c r="AA15" i="31"/>
  <c r="Z15" i="31"/>
  <c r="Y15" i="31"/>
  <c r="AD14" i="31"/>
  <c r="AC14" i="31"/>
  <c r="AB14" i="31"/>
  <c r="AA14" i="31"/>
  <c r="Z14" i="31"/>
  <c r="Y14" i="31"/>
  <c r="AD13" i="31"/>
  <c r="AC13" i="31"/>
  <c r="AB13" i="31"/>
  <c r="AA13" i="31"/>
  <c r="Z13" i="31"/>
  <c r="Y13" i="31"/>
  <c r="AD12" i="31"/>
  <c r="AC12" i="31"/>
  <c r="AB12" i="31"/>
  <c r="AA12" i="31"/>
  <c r="Z12" i="31"/>
  <c r="Y12" i="31"/>
  <c r="AD11" i="31"/>
  <c r="AC11" i="31"/>
  <c r="AB11" i="31"/>
  <c r="AA11" i="31"/>
  <c r="Z11" i="31"/>
  <c r="Y11" i="31"/>
  <c r="AD10" i="31"/>
  <c r="AC10" i="31"/>
  <c r="AB10" i="31"/>
  <c r="AA10" i="31"/>
  <c r="Z10" i="31"/>
  <c r="Y10" i="31"/>
  <c r="AD9" i="31"/>
  <c r="AC9" i="31"/>
  <c r="AB9" i="31"/>
  <c r="AA9" i="31"/>
  <c r="Z9" i="31"/>
  <c r="Y9" i="31"/>
  <c r="AD8" i="31"/>
  <c r="AC8" i="31"/>
  <c r="AB8" i="31"/>
  <c r="AA8" i="31"/>
  <c r="Z8" i="31"/>
  <c r="Y8" i="31"/>
  <c r="AD7" i="31"/>
  <c r="AC7" i="31"/>
  <c r="AB7" i="31"/>
  <c r="AA7" i="31"/>
  <c r="Z7" i="31"/>
  <c r="Y7" i="31"/>
  <c r="W46" i="31"/>
  <c r="T46" i="31"/>
  <c r="R46" i="31"/>
  <c r="O46" i="31"/>
  <c r="M46" i="31"/>
  <c r="J46" i="31"/>
  <c r="W40" i="31"/>
  <c r="T40" i="31"/>
  <c r="R40" i="31"/>
  <c r="O40" i="31"/>
  <c r="W38" i="31"/>
  <c r="T38" i="31"/>
  <c r="R38" i="31"/>
  <c r="W37" i="31"/>
  <c r="W36" i="31"/>
  <c r="W35" i="31"/>
  <c r="T35" i="31"/>
  <c r="W34" i="31"/>
  <c r="T34" i="31"/>
  <c r="R34" i="31"/>
  <c r="O34" i="31"/>
  <c r="W33" i="31"/>
  <c r="T33" i="31"/>
  <c r="R33" i="31"/>
  <c r="O33" i="31"/>
  <c r="W31" i="31"/>
  <c r="T31" i="31"/>
  <c r="R31" i="31"/>
  <c r="O31" i="31"/>
  <c r="M31" i="31"/>
  <c r="J31" i="31"/>
  <c r="W30" i="31"/>
  <c r="T30" i="31"/>
  <c r="R30" i="31"/>
  <c r="O30" i="31"/>
  <c r="M30" i="31"/>
  <c r="J30" i="31"/>
  <c r="W29" i="31"/>
  <c r="T29" i="31"/>
  <c r="R29" i="31"/>
  <c r="O29" i="31"/>
  <c r="M29" i="31"/>
  <c r="J29" i="31"/>
  <c r="W28" i="31"/>
  <c r="T28" i="31"/>
  <c r="R28" i="31"/>
  <c r="O28" i="31"/>
  <c r="M28" i="31"/>
  <c r="J28" i="31"/>
  <c r="W23" i="31"/>
  <c r="T23" i="31"/>
  <c r="R23" i="31"/>
  <c r="O23" i="31"/>
  <c r="M23" i="31"/>
  <c r="J23" i="31"/>
  <c r="W22" i="31"/>
  <c r="T22" i="31"/>
  <c r="R22" i="31"/>
  <c r="O22" i="31"/>
  <c r="M22" i="31"/>
  <c r="J22" i="31"/>
  <c r="W21" i="31"/>
  <c r="T21" i="31"/>
  <c r="R21" i="31"/>
  <c r="O21" i="31"/>
  <c r="M21" i="31"/>
  <c r="J21" i="31"/>
  <c r="W20" i="31"/>
  <c r="T20" i="31"/>
  <c r="R20" i="31"/>
  <c r="O20" i="31"/>
  <c r="M20" i="31"/>
  <c r="J20" i="31"/>
  <c r="W19" i="31"/>
  <c r="T19" i="31"/>
  <c r="R19" i="31"/>
  <c r="O19" i="31"/>
  <c r="M19" i="31"/>
  <c r="J19" i="31"/>
  <c r="W18" i="31"/>
  <c r="T18" i="31"/>
  <c r="R18" i="31"/>
  <c r="O18" i="31"/>
  <c r="M18" i="31"/>
  <c r="J18" i="31"/>
  <c r="W17" i="31"/>
  <c r="T17" i="31"/>
  <c r="R17" i="31"/>
  <c r="O17" i="31"/>
  <c r="M17" i="31"/>
  <c r="J17" i="31"/>
  <c r="W16" i="31"/>
  <c r="T16" i="31"/>
  <c r="R16" i="31"/>
  <c r="O16" i="31"/>
  <c r="M16" i="31"/>
  <c r="J16" i="31"/>
  <c r="W15" i="31"/>
  <c r="T15" i="31"/>
  <c r="R15" i="31"/>
  <c r="O15" i="31"/>
  <c r="M15" i="31"/>
  <c r="J15" i="31"/>
  <c r="W14" i="31"/>
  <c r="T14" i="31"/>
  <c r="R14" i="31"/>
  <c r="O14" i="31"/>
  <c r="M14" i="31"/>
  <c r="J14" i="31"/>
  <c r="W13" i="31"/>
  <c r="T13" i="31"/>
  <c r="R13" i="31"/>
  <c r="O13" i="31"/>
  <c r="M13" i="31"/>
  <c r="J13" i="31"/>
  <c r="W12" i="31"/>
  <c r="T12" i="31"/>
  <c r="R12" i="31"/>
  <c r="O12" i="31"/>
  <c r="M12" i="31"/>
  <c r="J12" i="31"/>
  <c r="W11" i="31"/>
  <c r="T11" i="31"/>
  <c r="R11" i="31"/>
  <c r="O11" i="31"/>
  <c r="M11" i="31"/>
  <c r="J11" i="31"/>
  <c r="W10" i="31"/>
  <c r="T10" i="31"/>
  <c r="R10" i="31"/>
  <c r="O10" i="31"/>
  <c r="M10" i="31"/>
  <c r="J10" i="31"/>
  <c r="W9" i="31"/>
  <c r="T9" i="31"/>
  <c r="R9" i="31"/>
  <c r="O9" i="31"/>
  <c r="M9" i="31"/>
  <c r="J9" i="31"/>
  <c r="W8" i="31"/>
  <c r="T8" i="31"/>
  <c r="R8" i="31"/>
  <c r="O8" i="31"/>
  <c r="M8" i="31"/>
  <c r="J8" i="31"/>
  <c r="W7" i="31"/>
  <c r="T7" i="31"/>
  <c r="R7" i="31"/>
  <c r="O7" i="31"/>
  <c r="M7" i="31"/>
  <c r="J7" i="31"/>
  <c r="W45" i="32"/>
  <c r="T45" i="32"/>
  <c r="R45" i="32"/>
  <c r="O45" i="32"/>
  <c r="M45" i="32"/>
  <c r="J45" i="32"/>
  <c r="W39" i="32"/>
  <c r="T39" i="32"/>
  <c r="R39" i="32"/>
  <c r="O39" i="32"/>
  <c r="W37" i="32"/>
  <c r="T37" i="32"/>
  <c r="R37" i="32"/>
  <c r="W36" i="32"/>
  <c r="W35" i="32"/>
  <c r="W34" i="32"/>
  <c r="T34" i="32"/>
  <c r="W33" i="32"/>
  <c r="T33" i="32"/>
  <c r="R33" i="32"/>
  <c r="O33" i="32"/>
  <c r="W32" i="32"/>
  <c r="T32" i="32"/>
  <c r="R32" i="32"/>
  <c r="O32" i="32"/>
  <c r="W30" i="32"/>
  <c r="T30" i="32"/>
  <c r="R30" i="32"/>
  <c r="O30" i="32"/>
  <c r="M30" i="32"/>
  <c r="J30" i="32"/>
  <c r="W29" i="32"/>
  <c r="T29" i="32"/>
  <c r="R29" i="32"/>
  <c r="O29" i="32"/>
  <c r="M29" i="32"/>
  <c r="J29" i="32"/>
  <c r="W28" i="32"/>
  <c r="T28" i="32"/>
  <c r="R28" i="32"/>
  <c r="O28" i="32"/>
  <c r="M28" i="32"/>
  <c r="J28" i="32"/>
  <c r="W23" i="32"/>
  <c r="T23" i="32"/>
  <c r="R23" i="32"/>
  <c r="O23" i="32"/>
  <c r="M23" i="32"/>
  <c r="J23" i="32"/>
  <c r="W22" i="32"/>
  <c r="T22" i="32"/>
  <c r="R22" i="32"/>
  <c r="O22" i="32"/>
  <c r="M22" i="32"/>
  <c r="J22" i="32"/>
  <c r="W21" i="32"/>
  <c r="T21" i="32"/>
  <c r="R21" i="32"/>
  <c r="O21" i="32"/>
  <c r="M21" i="32"/>
  <c r="J21" i="32"/>
  <c r="W20" i="32"/>
  <c r="T20" i="32"/>
  <c r="R20" i="32"/>
  <c r="O20" i="32"/>
  <c r="M20" i="32"/>
  <c r="J20" i="32"/>
  <c r="W19" i="32"/>
  <c r="T19" i="32"/>
  <c r="R19" i="32"/>
  <c r="O19" i="32"/>
  <c r="M19" i="32"/>
  <c r="J19" i="32"/>
  <c r="W18" i="32"/>
  <c r="T18" i="32"/>
  <c r="R18" i="32"/>
  <c r="O18" i="32"/>
  <c r="M18" i="32"/>
  <c r="J18" i="32"/>
  <c r="W17" i="32"/>
  <c r="T17" i="32"/>
  <c r="R17" i="32"/>
  <c r="O17" i="32"/>
  <c r="M17" i="32"/>
  <c r="J17" i="32"/>
  <c r="W16" i="32"/>
  <c r="T16" i="32"/>
  <c r="R16" i="32"/>
  <c r="O16" i="32"/>
  <c r="M16" i="32"/>
  <c r="J16" i="32"/>
  <c r="W15" i="32"/>
  <c r="T15" i="32"/>
  <c r="R15" i="32"/>
  <c r="O15" i="32"/>
  <c r="M15" i="32"/>
  <c r="J15" i="32"/>
  <c r="W14" i="32"/>
  <c r="T14" i="32"/>
  <c r="R14" i="32"/>
  <c r="O14" i="32"/>
  <c r="M14" i="32"/>
  <c r="J14" i="32"/>
  <c r="W13" i="32"/>
  <c r="T13" i="32"/>
  <c r="R13" i="32"/>
  <c r="O13" i="32"/>
  <c r="M13" i="32"/>
  <c r="J13" i="32"/>
  <c r="W12" i="32"/>
  <c r="T12" i="32"/>
  <c r="R12" i="32"/>
  <c r="O12" i="32"/>
  <c r="M12" i="32"/>
  <c r="J12" i="32"/>
  <c r="W11" i="32"/>
  <c r="T11" i="32"/>
  <c r="R11" i="32"/>
  <c r="O11" i="32"/>
  <c r="M11" i="32"/>
  <c r="J11" i="32"/>
  <c r="W10" i="32"/>
  <c r="T10" i="32"/>
  <c r="R10" i="32"/>
  <c r="O10" i="32"/>
  <c r="M10" i="32"/>
  <c r="J10" i="32"/>
  <c r="W9" i="32"/>
  <c r="T9" i="32"/>
  <c r="R9" i="32"/>
  <c r="O9" i="32"/>
  <c r="M9" i="32"/>
  <c r="J9" i="32"/>
  <c r="W8" i="32"/>
  <c r="T8" i="32"/>
  <c r="R8" i="32"/>
  <c r="O8" i="32"/>
  <c r="M8" i="32"/>
  <c r="J8" i="32"/>
  <c r="W7" i="32"/>
  <c r="T7" i="32"/>
  <c r="R7" i="32"/>
  <c r="O7" i="32"/>
  <c r="M7" i="32"/>
  <c r="J7" i="32"/>
  <c r="W45" i="33"/>
  <c r="T45" i="33"/>
  <c r="R45" i="33"/>
  <c r="O45" i="33"/>
  <c r="M45" i="33"/>
  <c r="J45" i="33"/>
  <c r="W39" i="33"/>
  <c r="T39" i="33"/>
  <c r="R39" i="33"/>
  <c r="O39" i="33"/>
  <c r="W37" i="33"/>
  <c r="T37" i="33"/>
  <c r="R37" i="33"/>
  <c r="W36" i="33"/>
  <c r="W35" i="33"/>
  <c r="W34" i="33"/>
  <c r="T34" i="33"/>
  <c r="W33" i="33"/>
  <c r="T33" i="33"/>
  <c r="R33" i="33"/>
  <c r="O33" i="33"/>
  <c r="W32" i="33"/>
  <c r="T32" i="33"/>
  <c r="R32" i="33"/>
  <c r="O32" i="33"/>
  <c r="W30" i="33"/>
  <c r="T30" i="33"/>
  <c r="R30" i="33"/>
  <c r="O30" i="33"/>
  <c r="M30" i="33"/>
  <c r="J30" i="33"/>
  <c r="W29" i="33"/>
  <c r="T29" i="33"/>
  <c r="R29" i="33"/>
  <c r="O29" i="33"/>
  <c r="M29" i="33"/>
  <c r="J29" i="33"/>
  <c r="W28" i="33"/>
  <c r="T28" i="33"/>
  <c r="R28" i="33"/>
  <c r="O28" i="33"/>
  <c r="M28" i="33"/>
  <c r="J28" i="33"/>
  <c r="W23" i="33"/>
  <c r="T23" i="33"/>
  <c r="R23" i="33"/>
  <c r="O23" i="33"/>
  <c r="M23" i="33"/>
  <c r="J23" i="33"/>
  <c r="W22" i="33"/>
  <c r="T22" i="33"/>
  <c r="R22" i="33"/>
  <c r="O22" i="33"/>
  <c r="M22" i="33"/>
  <c r="J22" i="33"/>
  <c r="W21" i="33"/>
  <c r="T21" i="33"/>
  <c r="R21" i="33"/>
  <c r="O21" i="33"/>
  <c r="M21" i="33"/>
  <c r="J21" i="33"/>
  <c r="W20" i="33"/>
  <c r="T20" i="33"/>
  <c r="R20" i="33"/>
  <c r="O20" i="33"/>
  <c r="M20" i="33"/>
  <c r="J20" i="33"/>
  <c r="W19" i="33"/>
  <c r="T19" i="33"/>
  <c r="R19" i="33"/>
  <c r="O19" i="33"/>
  <c r="M19" i="33"/>
  <c r="J19" i="33"/>
  <c r="W18" i="33"/>
  <c r="T18" i="33"/>
  <c r="R18" i="33"/>
  <c r="O18" i="33"/>
  <c r="M18" i="33"/>
  <c r="J18" i="33"/>
  <c r="W17" i="33"/>
  <c r="T17" i="33"/>
  <c r="R17" i="33"/>
  <c r="O17" i="33"/>
  <c r="M17" i="33"/>
  <c r="J17" i="33"/>
  <c r="W16" i="33"/>
  <c r="T16" i="33"/>
  <c r="R16" i="33"/>
  <c r="O16" i="33"/>
  <c r="M16" i="33"/>
  <c r="J16" i="33"/>
  <c r="W15" i="33"/>
  <c r="T15" i="33"/>
  <c r="R15" i="33"/>
  <c r="O15" i="33"/>
  <c r="M15" i="33"/>
  <c r="J15" i="33"/>
  <c r="W14" i="33"/>
  <c r="T14" i="33"/>
  <c r="R14" i="33"/>
  <c r="O14" i="33"/>
  <c r="M14" i="33"/>
  <c r="J14" i="33"/>
  <c r="W13" i="33"/>
  <c r="T13" i="33"/>
  <c r="R13" i="33"/>
  <c r="O13" i="33"/>
  <c r="M13" i="33"/>
  <c r="J13" i="33"/>
  <c r="W12" i="33"/>
  <c r="T12" i="33"/>
  <c r="R12" i="33"/>
  <c r="O12" i="33"/>
  <c r="M12" i="33"/>
  <c r="J12" i="33"/>
  <c r="W11" i="33"/>
  <c r="T11" i="33"/>
  <c r="R11" i="33"/>
  <c r="O11" i="33"/>
  <c r="M11" i="33"/>
  <c r="J11" i="33"/>
  <c r="W10" i="33"/>
  <c r="T10" i="33"/>
  <c r="R10" i="33"/>
  <c r="O10" i="33"/>
  <c r="M10" i="33"/>
  <c r="J10" i="33"/>
  <c r="W9" i="33"/>
  <c r="T9" i="33"/>
  <c r="R9" i="33"/>
  <c r="O9" i="33"/>
  <c r="M9" i="33"/>
  <c r="J9" i="33"/>
  <c r="W8" i="33"/>
  <c r="T8" i="33"/>
  <c r="R8" i="33"/>
  <c r="O8" i="33"/>
  <c r="M8" i="33"/>
  <c r="J8" i="33"/>
  <c r="W7" i="33"/>
  <c r="T7" i="33"/>
  <c r="R7" i="33"/>
  <c r="O7" i="33"/>
  <c r="M7" i="33"/>
  <c r="J7" i="33"/>
  <c r="W46" i="2"/>
  <c r="T46" i="2"/>
  <c r="R46" i="2"/>
  <c r="O46" i="2"/>
  <c r="M46" i="2"/>
  <c r="J46" i="2"/>
  <c r="W40" i="2"/>
  <c r="T40" i="2"/>
  <c r="R40" i="2"/>
  <c r="O40" i="2"/>
  <c r="W38" i="2"/>
  <c r="T38" i="2"/>
  <c r="R38" i="2"/>
  <c r="W37" i="2"/>
  <c r="W36" i="2"/>
  <c r="W35" i="2"/>
  <c r="T35" i="2"/>
  <c r="W34" i="2"/>
  <c r="T34" i="2"/>
  <c r="R34" i="2"/>
  <c r="O34" i="2"/>
  <c r="W33" i="2"/>
  <c r="T33" i="2"/>
  <c r="R33" i="2"/>
  <c r="O33" i="2"/>
  <c r="W31" i="2"/>
  <c r="T31" i="2"/>
  <c r="R31" i="2"/>
  <c r="O31" i="2"/>
  <c r="M31" i="2"/>
  <c r="J31" i="2"/>
  <c r="W30" i="2"/>
  <c r="T30" i="2"/>
  <c r="R30" i="2"/>
  <c r="O30" i="2"/>
  <c r="M30" i="2"/>
  <c r="J30" i="2"/>
  <c r="W29" i="2"/>
  <c r="T29" i="2"/>
  <c r="R29" i="2"/>
  <c r="O29" i="2"/>
  <c r="M29" i="2"/>
  <c r="J29" i="2"/>
  <c r="W28" i="2"/>
  <c r="T28" i="2"/>
  <c r="R28" i="2"/>
  <c r="O28" i="2"/>
  <c r="M28" i="2"/>
  <c r="J28" i="2"/>
  <c r="W23" i="2"/>
  <c r="T23" i="2"/>
  <c r="R23" i="2"/>
  <c r="O23" i="2"/>
  <c r="M23" i="2"/>
  <c r="J23" i="2"/>
  <c r="W22" i="2"/>
  <c r="T22" i="2"/>
  <c r="R22" i="2"/>
  <c r="O22" i="2"/>
  <c r="M22" i="2"/>
  <c r="J22" i="2"/>
  <c r="W21" i="2"/>
  <c r="T21" i="2"/>
  <c r="R21" i="2"/>
  <c r="O21" i="2"/>
  <c r="M21" i="2"/>
  <c r="J21" i="2"/>
  <c r="W20" i="2"/>
  <c r="T20" i="2"/>
  <c r="R20" i="2"/>
  <c r="O20" i="2"/>
  <c r="M20" i="2"/>
  <c r="J20" i="2"/>
  <c r="W19" i="2"/>
  <c r="T19" i="2"/>
  <c r="R19" i="2"/>
  <c r="O19" i="2"/>
  <c r="M19" i="2"/>
  <c r="J19" i="2"/>
  <c r="W18" i="2"/>
  <c r="T18" i="2"/>
  <c r="R18" i="2"/>
  <c r="O18" i="2"/>
  <c r="M18" i="2"/>
  <c r="J18" i="2"/>
  <c r="W17" i="2"/>
  <c r="T17" i="2"/>
  <c r="R17" i="2"/>
  <c r="O17" i="2"/>
  <c r="M17" i="2"/>
  <c r="J17" i="2"/>
  <c r="W16" i="2"/>
  <c r="T16" i="2"/>
  <c r="R16" i="2"/>
  <c r="O16" i="2"/>
  <c r="M16" i="2"/>
  <c r="J16" i="2"/>
  <c r="W15" i="2"/>
  <c r="T15" i="2"/>
  <c r="R15" i="2"/>
  <c r="O15" i="2"/>
  <c r="M15" i="2"/>
  <c r="J15" i="2"/>
  <c r="W14" i="2"/>
  <c r="T14" i="2"/>
  <c r="R14" i="2"/>
  <c r="O14" i="2"/>
  <c r="M14" i="2"/>
  <c r="J14" i="2"/>
  <c r="W13" i="2"/>
  <c r="T13" i="2"/>
  <c r="R13" i="2"/>
  <c r="O13" i="2"/>
  <c r="M13" i="2"/>
  <c r="J13" i="2"/>
  <c r="W12" i="2"/>
  <c r="T12" i="2"/>
  <c r="R12" i="2"/>
  <c r="O12" i="2"/>
  <c r="M12" i="2"/>
  <c r="J12" i="2"/>
  <c r="W11" i="2"/>
  <c r="T11" i="2"/>
  <c r="R11" i="2"/>
  <c r="O11" i="2"/>
  <c r="M11" i="2"/>
  <c r="J11" i="2"/>
  <c r="W10" i="2"/>
  <c r="T10" i="2"/>
  <c r="R10" i="2"/>
  <c r="O10" i="2"/>
  <c r="M10" i="2"/>
  <c r="J10" i="2"/>
  <c r="W9" i="2"/>
  <c r="T9" i="2"/>
  <c r="R9" i="2"/>
  <c r="O9" i="2"/>
  <c r="M9" i="2"/>
  <c r="J9" i="2"/>
  <c r="W8" i="2"/>
  <c r="T8" i="2"/>
  <c r="R8" i="2"/>
  <c r="O8" i="2"/>
  <c r="M8" i="2"/>
  <c r="J8" i="2"/>
  <c r="W7" i="2"/>
  <c r="T7" i="2"/>
  <c r="R7" i="2"/>
  <c r="O7" i="2"/>
  <c r="M7" i="2"/>
  <c r="J7" i="2"/>
  <c r="AB24" i="37"/>
  <c r="Z24" i="37"/>
  <c r="Y24" i="37"/>
  <c r="W24" i="37"/>
  <c r="U24" i="37"/>
  <c r="T24" i="37"/>
  <c r="R24" i="37"/>
  <c r="P24" i="37"/>
  <c r="O24" i="37"/>
  <c r="M24" i="37"/>
  <c r="K24" i="37"/>
  <c r="J24" i="37"/>
  <c r="AB23" i="37"/>
  <c r="Z23" i="37"/>
  <c r="Y23" i="37"/>
  <c r="W23" i="37"/>
  <c r="U23" i="37"/>
  <c r="T23" i="37"/>
  <c r="R23" i="37"/>
  <c r="P23" i="37"/>
  <c r="O23" i="37"/>
  <c r="M23" i="37"/>
  <c r="K23" i="37"/>
  <c r="J23" i="37"/>
  <c r="AB22" i="37"/>
  <c r="Z22" i="37"/>
  <c r="Y22" i="37"/>
  <c r="W22" i="37"/>
  <c r="U22" i="37"/>
  <c r="T22" i="37"/>
  <c r="R22" i="37"/>
  <c r="P22" i="37"/>
  <c r="O22" i="37"/>
  <c r="M22" i="37"/>
  <c r="K22" i="37"/>
  <c r="J22" i="37"/>
  <c r="AB21" i="37"/>
  <c r="Z21" i="37"/>
  <c r="Y21" i="37"/>
  <c r="W21" i="37"/>
  <c r="U21" i="37"/>
  <c r="T21" i="37"/>
  <c r="R21" i="37"/>
  <c r="P21" i="37"/>
  <c r="O21" i="37"/>
  <c r="M21" i="37"/>
  <c r="K21" i="37"/>
  <c r="J21" i="37"/>
  <c r="AB20" i="37"/>
  <c r="Z20" i="37"/>
  <c r="Y20" i="37"/>
  <c r="W20" i="37"/>
  <c r="U20" i="37"/>
  <c r="T20" i="37"/>
  <c r="R20" i="37"/>
  <c r="P20" i="37"/>
  <c r="O20" i="37"/>
  <c r="M20" i="37"/>
  <c r="K20" i="37"/>
  <c r="J20" i="37"/>
  <c r="AB19" i="37"/>
  <c r="Z19" i="37"/>
  <c r="Y19" i="37"/>
  <c r="W19" i="37"/>
  <c r="U19" i="37"/>
  <c r="T19" i="37"/>
  <c r="R19" i="37"/>
  <c r="P19" i="37"/>
  <c r="O19" i="37"/>
  <c r="M19" i="37"/>
  <c r="K19" i="37"/>
  <c r="J19" i="37"/>
  <c r="AB18" i="37"/>
  <c r="Z18" i="37"/>
  <c r="Y18" i="37"/>
  <c r="W18" i="37"/>
  <c r="U18" i="37"/>
  <c r="T18" i="37"/>
  <c r="R18" i="37"/>
  <c r="P18" i="37"/>
  <c r="O18" i="37"/>
  <c r="M18" i="37"/>
  <c r="K18" i="37"/>
  <c r="J18" i="37"/>
  <c r="AB17" i="37"/>
  <c r="Z17" i="37"/>
  <c r="Y17" i="37"/>
  <c r="W17" i="37"/>
  <c r="U17" i="37"/>
  <c r="T17" i="37"/>
  <c r="R17" i="37"/>
  <c r="P17" i="37"/>
  <c r="O17" i="37"/>
  <c r="M17" i="37"/>
  <c r="K17" i="37"/>
  <c r="J17" i="37"/>
  <c r="AB16" i="37"/>
  <c r="Z16" i="37"/>
  <c r="Y16" i="37"/>
  <c r="W16" i="37"/>
  <c r="U16" i="37"/>
  <c r="T16" i="37"/>
  <c r="R16" i="37"/>
  <c r="P16" i="37"/>
  <c r="O16" i="37"/>
  <c r="M16" i="37"/>
  <c r="K16" i="37"/>
  <c r="J16" i="37"/>
  <c r="AB15" i="37"/>
  <c r="Z15" i="37"/>
  <c r="Y15" i="37"/>
  <c r="W15" i="37"/>
  <c r="U15" i="37"/>
  <c r="T15" i="37"/>
  <c r="R15" i="37"/>
  <c r="P15" i="37"/>
  <c r="O15" i="37"/>
  <c r="M15" i="37"/>
  <c r="K15" i="37"/>
  <c r="J15" i="37"/>
  <c r="AB14" i="37"/>
  <c r="Z14" i="37"/>
  <c r="Y14" i="37"/>
  <c r="W14" i="37"/>
  <c r="U14" i="37"/>
  <c r="T14" i="37"/>
  <c r="R14" i="37"/>
  <c r="P14" i="37"/>
  <c r="O14" i="37"/>
  <c r="M14" i="37"/>
  <c r="K14" i="37"/>
  <c r="J14" i="37"/>
  <c r="AB13" i="37"/>
  <c r="Z13" i="37"/>
  <c r="Y13" i="37"/>
  <c r="W13" i="37"/>
  <c r="U13" i="37"/>
  <c r="T13" i="37"/>
  <c r="R13" i="37"/>
  <c r="P13" i="37"/>
  <c r="O13" i="37"/>
  <c r="M13" i="37"/>
  <c r="K13" i="37"/>
  <c r="J13" i="37"/>
  <c r="AB12" i="37"/>
  <c r="Z12" i="37"/>
  <c r="Y12" i="37"/>
  <c r="W12" i="37"/>
  <c r="U12" i="37"/>
  <c r="T12" i="37"/>
  <c r="R12" i="37"/>
  <c r="P12" i="37"/>
  <c r="O12" i="37"/>
  <c r="M12" i="37"/>
  <c r="K12" i="37"/>
  <c r="J12" i="37"/>
  <c r="AB11" i="37"/>
  <c r="Z11" i="37"/>
  <c r="Y11" i="37"/>
  <c r="W11" i="37"/>
  <c r="U11" i="37"/>
  <c r="T11" i="37"/>
  <c r="R11" i="37"/>
  <c r="P11" i="37"/>
  <c r="O11" i="37"/>
  <c r="M11" i="37"/>
  <c r="K11" i="37"/>
  <c r="J11" i="37"/>
  <c r="AB10" i="37"/>
  <c r="Z10" i="37"/>
  <c r="Y10" i="37"/>
  <c r="W10" i="37"/>
  <c r="U10" i="37"/>
  <c r="T10" i="37"/>
  <c r="R10" i="37"/>
  <c r="P10" i="37"/>
  <c r="O10" i="37"/>
  <c r="M10" i="37"/>
  <c r="K10" i="37"/>
  <c r="J10" i="37"/>
  <c r="AB9" i="37"/>
  <c r="Z9" i="37"/>
  <c r="Y9" i="37"/>
  <c r="W9" i="37"/>
  <c r="U9" i="37"/>
  <c r="T9" i="37"/>
  <c r="R9" i="37"/>
  <c r="P9" i="37"/>
  <c r="O9" i="37"/>
  <c r="M9" i="37"/>
  <c r="K9" i="37"/>
  <c r="J9" i="37"/>
  <c r="AB8" i="37"/>
  <c r="Z8" i="37"/>
  <c r="Y8" i="37"/>
  <c r="W8" i="37"/>
  <c r="U8" i="37"/>
  <c r="T8" i="37"/>
  <c r="R8" i="37"/>
  <c r="P8" i="37"/>
  <c r="O8" i="37"/>
  <c r="M8" i="37"/>
  <c r="K8" i="37"/>
  <c r="J8" i="37"/>
  <c r="V28" i="1"/>
  <c r="V27" i="1"/>
  <c r="M38" i="1"/>
  <c r="J38" i="1"/>
  <c r="H38" i="1"/>
  <c r="E38" i="1"/>
  <c r="M27" i="1"/>
  <c r="J27" i="1"/>
  <c r="H27" i="1"/>
  <c r="E27" i="1"/>
  <c r="M26" i="1"/>
  <c r="J26" i="1"/>
  <c r="H26" i="1"/>
  <c r="E26" i="1"/>
  <c r="M25" i="1"/>
  <c r="J25" i="1"/>
  <c r="H25" i="1"/>
  <c r="E25" i="1"/>
  <c r="V24" i="1"/>
  <c r="T24" i="1"/>
  <c r="S24" i="1"/>
  <c r="V23" i="1"/>
  <c r="T23" i="1"/>
  <c r="S23" i="1"/>
  <c r="M17" i="1"/>
  <c r="J17" i="1"/>
  <c r="H17" i="1"/>
  <c r="E17" i="1"/>
  <c r="M16" i="1"/>
  <c r="J16" i="1"/>
  <c r="H16" i="1"/>
  <c r="E16" i="1"/>
  <c r="M15" i="1"/>
  <c r="J15" i="1"/>
  <c r="H15" i="1"/>
  <c r="E15" i="1"/>
  <c r="M12" i="1"/>
  <c r="J12" i="1"/>
  <c r="H12" i="1"/>
  <c r="E12" i="1"/>
  <c r="M11" i="1"/>
  <c r="J11" i="1"/>
  <c r="H11" i="1"/>
  <c r="E11" i="1"/>
  <c r="M10" i="1"/>
  <c r="J10" i="1"/>
  <c r="H10" i="1"/>
  <c r="E10" i="1"/>
  <c r="M9" i="1"/>
  <c r="J9" i="1"/>
  <c r="H9" i="1"/>
  <c r="E9" i="1"/>
  <c r="M8" i="1"/>
  <c r="J8" i="1"/>
  <c r="H8" i="1"/>
  <c r="E8" i="1"/>
  <c r="M7" i="1"/>
  <c r="J7" i="1"/>
  <c r="H7" i="1"/>
  <c r="E7" i="1"/>
  <c r="H18" i="1" l="1"/>
  <c r="J18" i="1"/>
  <c r="J13" i="1"/>
  <c r="M18" i="1"/>
  <c r="M13" i="1"/>
  <c r="J28" i="1"/>
  <c r="E28" i="1"/>
  <c r="E18" i="1"/>
  <c r="E13" i="1"/>
  <c r="M28" i="1"/>
  <c r="H28" i="1"/>
  <c r="H13" i="1"/>
  <c r="T28" i="1"/>
  <c r="S28" i="1"/>
  <c r="T27" i="1"/>
  <c r="S27" i="1"/>
  <c r="V20" i="1"/>
  <c r="T20" i="1"/>
  <c r="S20" i="1"/>
  <c r="V19" i="1"/>
  <c r="T19" i="1"/>
  <c r="S19" i="1"/>
  <c r="V18" i="1"/>
  <c r="T18" i="1"/>
  <c r="S18" i="1"/>
  <c r="V17" i="1"/>
  <c r="T17" i="1"/>
  <c r="S17" i="1"/>
  <c r="V16" i="1"/>
  <c r="T16" i="1"/>
  <c r="S16" i="1"/>
  <c r="V15" i="1"/>
  <c r="T15" i="1"/>
  <c r="S15" i="1"/>
  <c r="V14" i="1"/>
  <c r="T14" i="1"/>
  <c r="S14" i="1"/>
  <c r="V13" i="1"/>
  <c r="T13" i="1"/>
  <c r="S13" i="1"/>
  <c r="V11" i="1"/>
  <c r="T11" i="1"/>
  <c r="S11" i="1"/>
  <c r="V10" i="1"/>
  <c r="T10" i="1"/>
  <c r="S10" i="1"/>
  <c r="V9" i="1"/>
  <c r="T9" i="1"/>
  <c r="S9" i="1"/>
  <c r="AY39" i="34"/>
  <c r="AX39" i="34"/>
  <c r="AW39" i="34"/>
  <c r="AV39" i="34"/>
  <c r="AU39" i="34"/>
  <c r="AT39" i="34"/>
  <c r="AS39" i="34"/>
  <c r="AR39" i="34"/>
  <c r="AQ39" i="34"/>
  <c r="AY38" i="34"/>
  <c r="AX38" i="34"/>
  <c r="AW38" i="34"/>
  <c r="AV38" i="34"/>
  <c r="AU38" i="34"/>
  <c r="AT38" i="34"/>
  <c r="AS38" i="34"/>
  <c r="AR38" i="34"/>
  <c r="AQ38" i="34"/>
  <c r="AY37" i="34" l="1"/>
  <c r="M27" i="37" l="1"/>
  <c r="W25" i="37"/>
  <c r="W26" i="37" l="1"/>
  <c r="R25" i="37"/>
  <c r="AB25" i="37"/>
  <c r="R26" i="37"/>
  <c r="AB26" i="37"/>
  <c r="AB27" i="37"/>
  <c r="R27" i="37"/>
  <c r="M25" i="37"/>
  <c r="M26" i="37"/>
  <c r="W27" i="37"/>
  <c r="W28" i="37" l="1"/>
  <c r="AB28" i="37"/>
  <c r="R28" i="37"/>
  <c r="M28" i="37"/>
  <c r="T50" i="33" l="1"/>
  <c r="T50" i="32"/>
  <c r="AX37" i="34" l="1"/>
  <c r="AW37" i="34" l="1"/>
  <c r="AV37" i="34" l="1"/>
  <c r="G17" i="34"/>
  <c r="AP39" i="34"/>
  <c r="AO39" i="34"/>
  <c r="AN39" i="34"/>
  <c r="AM39" i="34"/>
  <c r="AL39" i="34"/>
  <c r="AK39" i="34"/>
  <c r="AJ39" i="34"/>
  <c r="AI39" i="34"/>
  <c r="AH39" i="34"/>
  <c r="AG39" i="34"/>
  <c r="AF39" i="34"/>
  <c r="AE39" i="34"/>
  <c r="AD39" i="34"/>
  <c r="AC39" i="34"/>
  <c r="AB39" i="34"/>
  <c r="AA39" i="34"/>
  <c r="Z39" i="34"/>
  <c r="Y39" i="34"/>
  <c r="X39" i="34"/>
  <c r="W39" i="34"/>
  <c r="V39" i="34"/>
  <c r="U39" i="34"/>
  <c r="T39" i="34"/>
  <c r="S39" i="34"/>
  <c r="AP38" i="34"/>
  <c r="AO38" i="34"/>
  <c r="AN38" i="34"/>
  <c r="AM38" i="34"/>
  <c r="AL38" i="34"/>
  <c r="AK38" i="34"/>
  <c r="AJ38" i="34"/>
  <c r="AI38" i="34"/>
  <c r="AH38" i="34"/>
  <c r="AG38" i="34"/>
  <c r="AF38" i="34"/>
  <c r="AE38" i="34"/>
  <c r="AD38" i="34"/>
  <c r="AC38" i="34"/>
  <c r="AB38" i="34"/>
  <c r="AA38" i="34"/>
  <c r="Z38" i="34"/>
  <c r="Y38" i="34"/>
  <c r="X38" i="34"/>
  <c r="W38" i="34"/>
  <c r="V38" i="34"/>
  <c r="U38" i="34"/>
  <c r="T38" i="34"/>
  <c r="S38" i="34"/>
  <c r="AU37" i="34"/>
  <c r="AT37" i="34"/>
  <c r="AS37" i="34"/>
  <c r="AR37" i="34"/>
  <c r="AQ37" i="34"/>
  <c r="AP37" i="34"/>
  <c r="AO37" i="34"/>
  <c r="AN37" i="34"/>
  <c r="AM37" i="34"/>
  <c r="AL37" i="34"/>
  <c r="AK37" i="34"/>
  <c r="AJ37" i="34"/>
  <c r="AI37" i="34"/>
  <c r="AH37" i="34"/>
  <c r="AG37" i="34"/>
  <c r="AF37" i="34"/>
  <c r="AE37" i="34"/>
  <c r="AD37" i="34"/>
  <c r="AC37" i="34"/>
  <c r="AB37" i="34"/>
  <c r="AA37" i="34"/>
  <c r="Z37" i="34"/>
  <c r="I36" i="34"/>
  <c r="F36" i="34"/>
  <c r="G26" i="34"/>
  <c r="I25" i="34"/>
  <c r="N25" i="34" s="1"/>
  <c r="F25" i="34"/>
  <c r="K25" i="34" s="1"/>
  <c r="I24" i="34"/>
  <c r="N24" i="34" s="1"/>
  <c r="F24" i="34"/>
  <c r="K24" i="34" s="1"/>
  <c r="I16" i="34"/>
  <c r="N16" i="34" s="1"/>
  <c r="F16" i="34"/>
  <c r="K16" i="34" s="1"/>
  <c r="I15" i="34"/>
  <c r="N15" i="34" s="1"/>
  <c r="F15" i="34"/>
  <c r="K15" i="34" s="1"/>
  <c r="I13" i="34"/>
  <c r="N13" i="34" s="1"/>
  <c r="F13" i="34"/>
  <c r="K13" i="34" s="1"/>
  <c r="I12" i="34"/>
  <c r="N12" i="34" s="1"/>
  <c r="F12" i="34"/>
  <c r="K12" i="34" s="1"/>
  <c r="I10" i="34"/>
  <c r="N10" i="34" s="1"/>
  <c r="F10" i="34"/>
  <c r="K10" i="34" s="1"/>
  <c r="I11" i="34" l="1"/>
  <c r="I17" i="34"/>
  <c r="I18" i="34"/>
  <c r="I19" i="34" s="1"/>
  <c r="F17" i="34"/>
  <c r="H25" i="34"/>
  <c r="I14" i="34"/>
  <c r="O10" i="34"/>
  <c r="N20" i="34"/>
  <c r="N21" i="34" s="1"/>
  <c r="K17" i="34"/>
  <c r="N17" i="34"/>
  <c r="I26" i="34"/>
  <c r="J26" i="34" s="1"/>
  <c r="N26" i="34"/>
  <c r="G11" i="34"/>
  <c r="J11" i="34" s="1"/>
  <c r="G14" i="34"/>
  <c r="O25" i="34"/>
  <c r="F14" i="34"/>
  <c r="H16" i="34"/>
  <c r="F18" i="34"/>
  <c r="F19" i="34" s="1"/>
  <c r="G18" i="34"/>
  <c r="J18" i="34" s="1"/>
  <c r="L11" i="34"/>
  <c r="F26" i="34"/>
  <c r="H26" i="34" s="1"/>
  <c r="K14" i="34"/>
  <c r="K11" i="34"/>
  <c r="J17" i="34"/>
  <c r="F20" i="34"/>
  <c r="F21" i="34" s="1"/>
  <c r="H15" i="34"/>
  <c r="K26" i="34"/>
  <c r="F11" i="34"/>
  <c r="J25" i="34"/>
  <c r="N11" i="34"/>
  <c r="I20" i="34"/>
  <c r="I21" i="34" s="1"/>
  <c r="J15" i="34"/>
  <c r="J12" i="34"/>
  <c r="G20" i="34"/>
  <c r="G21" i="34" s="1"/>
  <c r="H13" i="34"/>
  <c r="H24" i="34"/>
  <c r="H10" i="34"/>
  <c r="J13" i="34"/>
  <c r="J16" i="34"/>
  <c r="J24" i="34"/>
  <c r="J10" i="34"/>
  <c r="O16" i="34"/>
  <c r="H12" i="34"/>
  <c r="M10" i="34"/>
  <c r="H17" i="34"/>
  <c r="J14" i="34" l="1"/>
  <c r="O11" i="34"/>
  <c r="M25" i="34"/>
  <c r="G22" i="34"/>
  <c r="H14" i="34"/>
  <c r="H11" i="34"/>
  <c r="K20" i="34"/>
  <c r="K21" i="34" s="1"/>
  <c r="M13" i="34"/>
  <c r="L26" i="34"/>
  <c r="O26" i="34" s="1"/>
  <c r="G19" i="34"/>
  <c r="J19" i="34" s="1"/>
  <c r="O24" i="34"/>
  <c r="J21" i="34"/>
  <c r="I22" i="34"/>
  <c r="I27" i="34" s="1"/>
  <c r="H18" i="34"/>
  <c r="O12" i="34"/>
  <c r="M24" i="34"/>
  <c r="N18" i="34"/>
  <c r="M11" i="34"/>
  <c r="L14" i="34"/>
  <c r="N14" i="34"/>
  <c r="F22" i="34"/>
  <c r="K18" i="34"/>
  <c r="L17" i="34"/>
  <c r="O17" i="34" s="1"/>
  <c r="M12" i="34"/>
  <c r="O13" i="34"/>
  <c r="L20" i="34"/>
  <c r="O20" i="34" s="1"/>
  <c r="M15" i="34"/>
  <c r="O15" i="34"/>
  <c r="J20" i="34"/>
  <c r="H21" i="34"/>
  <c r="M16" i="34"/>
  <c r="L18" i="34"/>
  <c r="H20" i="34"/>
  <c r="G27" i="34"/>
  <c r="G23" i="34"/>
  <c r="H22" i="34" l="1"/>
  <c r="M26" i="34"/>
  <c r="H19" i="34"/>
  <c r="I23" i="34"/>
  <c r="J22" i="34"/>
  <c r="O14" i="34"/>
  <c r="O18" i="34"/>
  <c r="M14" i="34"/>
  <c r="M18" i="34"/>
  <c r="L19" i="34"/>
  <c r="L22" i="34"/>
  <c r="L27" i="34" s="1"/>
  <c r="F27" i="34"/>
  <c r="H27" i="34" s="1"/>
  <c r="F23" i="34"/>
  <c r="H23" i="34" s="1"/>
  <c r="M20" i="34"/>
  <c r="L21" i="34"/>
  <c r="O21" i="34" s="1"/>
  <c r="N19" i="34"/>
  <c r="O19" i="34" s="1"/>
  <c r="N22" i="34"/>
  <c r="M17" i="34"/>
  <c r="K19" i="34"/>
  <c r="M19" i="34" s="1"/>
  <c r="K22" i="34"/>
  <c r="G37" i="34"/>
  <c r="J27" i="34"/>
  <c r="G28" i="34"/>
  <c r="G38" i="34"/>
  <c r="J23" i="34"/>
  <c r="I37" i="34"/>
  <c r="I28" i="34"/>
  <c r="I38" i="34"/>
  <c r="M22" i="34" l="1"/>
  <c r="L23" i="34"/>
  <c r="M21" i="34"/>
  <c r="K27" i="34"/>
  <c r="K28" i="34" s="1"/>
  <c r="K23" i="34"/>
  <c r="N27" i="34"/>
  <c r="N28" i="34" s="1"/>
  <c r="N23" i="34"/>
  <c r="O23" i="34" s="1"/>
  <c r="O22" i="34"/>
  <c r="F38" i="34"/>
  <c r="F28" i="34"/>
  <c r="F37" i="34"/>
  <c r="L28" i="34"/>
  <c r="J28" i="34"/>
  <c r="H28" i="34"/>
  <c r="M23" i="34" l="1"/>
  <c r="M27" i="34"/>
  <c r="O27" i="34"/>
  <c r="O28" i="34"/>
  <c r="M28" i="34"/>
  <c r="K40" i="33" l="1"/>
  <c r="J40" i="33"/>
  <c r="N39" i="33"/>
  <c r="L39" i="33"/>
  <c r="G39" i="33"/>
  <c r="G38" i="33"/>
  <c r="S37" i="33"/>
  <c r="Q37" i="33"/>
  <c r="M40" i="33"/>
  <c r="G37" i="33"/>
  <c r="S36" i="33"/>
  <c r="Q36" i="33"/>
  <c r="N36" i="33"/>
  <c r="G36" i="33"/>
  <c r="S35" i="33"/>
  <c r="Q35" i="33"/>
  <c r="N35" i="33"/>
  <c r="G35" i="33"/>
  <c r="S34" i="33"/>
  <c r="Q34" i="33"/>
  <c r="N34" i="33"/>
  <c r="L34" i="33"/>
  <c r="G34" i="33"/>
  <c r="N33" i="33"/>
  <c r="L33" i="33"/>
  <c r="G33" i="33"/>
  <c r="N32" i="33"/>
  <c r="L32" i="33"/>
  <c r="G32" i="33"/>
  <c r="G30" i="33"/>
  <c r="G29" i="33"/>
  <c r="G28" i="33"/>
  <c r="AG26" i="33"/>
  <c r="G26" i="33"/>
  <c r="G25" i="33"/>
  <c r="G24" i="33"/>
  <c r="AG23" i="33"/>
  <c r="G23" i="33"/>
  <c r="G22" i="33"/>
  <c r="G21" i="33"/>
  <c r="G20" i="33"/>
  <c r="G19" i="33"/>
  <c r="AG18" i="33"/>
  <c r="G18" i="33"/>
  <c r="G17" i="33"/>
  <c r="AG16" i="33"/>
  <c r="G16" i="33"/>
  <c r="G15" i="33"/>
  <c r="G14" i="33"/>
  <c r="AG13" i="33"/>
  <c r="G13" i="33"/>
  <c r="G12" i="33"/>
  <c r="AG11" i="33"/>
  <c r="G11" i="33"/>
  <c r="G10" i="33"/>
  <c r="G9" i="33"/>
  <c r="AG8" i="33"/>
  <c r="G8" i="33"/>
  <c r="G7" i="33"/>
  <c r="AG19" i="33" l="1"/>
  <c r="R25" i="33"/>
  <c r="AG22" i="33"/>
  <c r="AG15" i="33"/>
  <c r="AG10" i="33"/>
  <c r="AG25" i="33"/>
  <c r="W24" i="33"/>
  <c r="W25" i="33"/>
  <c r="R24" i="33"/>
  <c r="M24" i="33"/>
  <c r="R40" i="33"/>
  <c r="AG17" i="33"/>
  <c r="M26" i="33"/>
  <c r="R26" i="33"/>
  <c r="W40" i="33"/>
  <c r="M31" i="33"/>
  <c r="AG9" i="33"/>
  <c r="W26" i="33"/>
  <c r="R31" i="33"/>
  <c r="AG21" i="33"/>
  <c r="AG24" i="33"/>
  <c r="AG14" i="33"/>
  <c r="AG7" i="33"/>
  <c r="AG12" i="33"/>
  <c r="N40" i="33"/>
  <c r="L40" i="33"/>
  <c r="M25" i="33"/>
  <c r="W31" i="33"/>
  <c r="AG20" i="33"/>
  <c r="AG27" i="33"/>
  <c r="R27" i="33" l="1"/>
  <c r="W27" i="33"/>
  <c r="M27" i="33"/>
  <c r="M46" i="33" l="1"/>
  <c r="W42" i="33"/>
  <c r="R42" i="33"/>
  <c r="G45" i="32"/>
  <c r="K40" i="32"/>
  <c r="J40" i="32"/>
  <c r="N39" i="32"/>
  <c r="L39" i="32"/>
  <c r="G39" i="32"/>
  <c r="G38" i="32"/>
  <c r="S37" i="32"/>
  <c r="Q37" i="32"/>
  <c r="M37" i="32"/>
  <c r="G37" i="32"/>
  <c r="S36" i="32"/>
  <c r="Q36" i="32"/>
  <c r="N36" i="32"/>
  <c r="G36" i="32"/>
  <c r="S35" i="32"/>
  <c r="Q35" i="32"/>
  <c r="N35" i="32"/>
  <c r="G35" i="32"/>
  <c r="S34" i="32"/>
  <c r="Q34" i="32"/>
  <c r="N34" i="32"/>
  <c r="L34" i="32"/>
  <c r="G34" i="32"/>
  <c r="N33" i="32"/>
  <c r="L33" i="32"/>
  <c r="G33" i="32"/>
  <c r="N32" i="32"/>
  <c r="L32" i="32"/>
  <c r="G32" i="32"/>
  <c r="G30" i="32"/>
  <c r="G29" i="32"/>
  <c r="G28" i="32"/>
  <c r="AG27" i="32"/>
  <c r="G26" i="32"/>
  <c r="AG25" i="32"/>
  <c r="G25" i="32"/>
  <c r="G24" i="32"/>
  <c r="G23" i="32"/>
  <c r="AG22" i="32"/>
  <c r="G22" i="32"/>
  <c r="AG21" i="32"/>
  <c r="G21" i="32"/>
  <c r="G20" i="32"/>
  <c r="G19" i="32"/>
  <c r="G18" i="32"/>
  <c r="AG17" i="32"/>
  <c r="G17" i="32"/>
  <c r="AG16" i="32"/>
  <c r="G16" i="32"/>
  <c r="G15" i="32"/>
  <c r="AG14" i="32"/>
  <c r="G14" i="32"/>
  <c r="G13" i="32"/>
  <c r="G12" i="32"/>
  <c r="AG11" i="32"/>
  <c r="G11" i="32"/>
  <c r="G10" i="32"/>
  <c r="AG9" i="32"/>
  <c r="G9" i="32"/>
  <c r="G8" i="32"/>
  <c r="G7" i="32"/>
  <c r="R46" i="33" l="1"/>
  <c r="W46" i="33"/>
  <c r="AG26" i="32"/>
  <c r="AG12" i="32"/>
  <c r="AG8" i="32"/>
  <c r="AG18" i="32"/>
  <c r="M26" i="32"/>
  <c r="M24" i="32"/>
  <c r="AG24" i="32"/>
  <c r="AG19" i="32"/>
  <c r="AG10" i="32"/>
  <c r="R40" i="32"/>
  <c r="M25" i="32"/>
  <c r="AG15" i="32"/>
  <c r="AG7" i="32"/>
  <c r="R26" i="32"/>
  <c r="W26" i="32"/>
  <c r="AG20" i="32"/>
  <c r="AG13" i="32"/>
  <c r="W31" i="32"/>
  <c r="R31" i="32"/>
  <c r="N37" i="32"/>
  <c r="M40" i="32"/>
  <c r="N40" i="32" s="1"/>
  <c r="W40" i="32"/>
  <c r="R25" i="32"/>
  <c r="F45" i="32"/>
  <c r="W24" i="32"/>
  <c r="L40" i="32"/>
  <c r="M31" i="32"/>
  <c r="AG23" i="32"/>
  <c r="W25" i="32"/>
  <c r="R24" i="32"/>
  <c r="M27" i="32" l="1"/>
  <c r="R27" i="32"/>
  <c r="W27" i="32"/>
  <c r="M46" i="32" l="1"/>
  <c r="W42" i="32"/>
  <c r="R42" i="32"/>
  <c r="R46" i="32" l="1"/>
  <c r="W46" i="32"/>
  <c r="M21" i="1"/>
  <c r="M32" i="1" l="1"/>
  <c r="M29" i="1"/>
  <c r="M22" i="1"/>
  <c r="M33" i="1" s="1"/>
  <c r="M19" i="1"/>
  <c r="M14" i="1"/>
  <c r="M23" i="1"/>
  <c r="M34" i="1" s="1"/>
  <c r="M20" i="1"/>
  <c r="S62" i="31"/>
  <c r="S61" i="31"/>
  <c r="T60" i="31"/>
  <c r="S60" i="31"/>
  <c r="T59" i="31"/>
  <c r="S59" i="31"/>
  <c r="K41" i="31"/>
  <c r="J41" i="31"/>
  <c r="N40" i="31"/>
  <c r="L40" i="31"/>
  <c r="G40" i="31"/>
  <c r="G39" i="31"/>
  <c r="S38" i="31"/>
  <c r="Q38" i="31"/>
  <c r="M38" i="31"/>
  <c r="N38" i="31" s="1"/>
  <c r="G38" i="31"/>
  <c r="S37" i="31"/>
  <c r="Q37" i="31"/>
  <c r="N37" i="31"/>
  <c r="G37" i="31"/>
  <c r="S36" i="31"/>
  <c r="Q36" i="31"/>
  <c r="N36" i="31"/>
  <c r="G36" i="31"/>
  <c r="W41" i="31"/>
  <c r="S35" i="31"/>
  <c r="Q35" i="31"/>
  <c r="N35" i="31"/>
  <c r="L35" i="31"/>
  <c r="G35" i="31"/>
  <c r="N34" i="31"/>
  <c r="L34" i="31"/>
  <c r="G34" i="31"/>
  <c r="N33" i="31"/>
  <c r="L33" i="31"/>
  <c r="G33" i="31"/>
  <c r="G31" i="31"/>
  <c r="W32" i="31"/>
  <c r="R32" i="31"/>
  <c r="G30" i="31"/>
  <c r="G29" i="31"/>
  <c r="G26" i="31"/>
  <c r="G25" i="31"/>
  <c r="G24" i="31"/>
  <c r="G23" i="31"/>
  <c r="G22" i="31"/>
  <c r="G21" i="31"/>
  <c r="G20" i="31"/>
  <c r="G19" i="31"/>
  <c r="G18" i="31"/>
  <c r="G17" i="31"/>
  <c r="G16" i="31"/>
  <c r="G15" i="31"/>
  <c r="G14" i="31"/>
  <c r="G13" i="31"/>
  <c r="G12" i="31"/>
  <c r="G11" i="31"/>
  <c r="G10" i="31"/>
  <c r="G9" i="31"/>
  <c r="G8" i="31"/>
  <c r="G7" i="31"/>
  <c r="W25" i="31" l="1"/>
  <c r="W24" i="31"/>
  <c r="R26" i="31"/>
  <c r="M25" i="31"/>
  <c r="M32" i="31"/>
  <c r="W26" i="31"/>
  <c r="R25" i="31"/>
  <c r="R41" i="31"/>
  <c r="M24" i="31"/>
  <c r="R24" i="31"/>
  <c r="M26" i="31"/>
  <c r="M30" i="1"/>
  <c r="M24" i="1"/>
  <c r="L41" i="31"/>
  <c r="M41" i="31"/>
  <c r="N41" i="31" s="1"/>
  <c r="G39" i="2"/>
  <c r="R27" i="31" l="1"/>
  <c r="R43" i="31" s="1"/>
  <c r="W27" i="31"/>
  <c r="W43" i="31" s="1"/>
  <c r="W47" i="31" s="1"/>
  <c r="M27" i="31"/>
  <c r="M35" i="1"/>
  <c r="M31" i="1"/>
  <c r="R47" i="31" l="1"/>
  <c r="M47" i="31"/>
  <c r="M40" i="1"/>
  <c r="M39" i="1"/>
  <c r="M36" i="1"/>
  <c r="S62" i="2" l="1"/>
  <c r="S61" i="2"/>
  <c r="T60" i="2"/>
  <c r="S60" i="2"/>
  <c r="S59" i="2"/>
  <c r="K41" i="2"/>
  <c r="J41" i="2"/>
  <c r="N40" i="2"/>
  <c r="L40" i="2"/>
  <c r="G40" i="2"/>
  <c r="Q38" i="2"/>
  <c r="M38" i="2"/>
  <c r="M41" i="2" s="1"/>
  <c r="G38" i="2"/>
  <c r="S37" i="2"/>
  <c r="Q37" i="2"/>
  <c r="N37" i="2"/>
  <c r="G37" i="2"/>
  <c r="S36" i="2"/>
  <c r="Q36" i="2"/>
  <c r="N36" i="2"/>
  <c r="G36" i="2"/>
  <c r="V34" i="1"/>
  <c r="S35" i="2"/>
  <c r="Q35" i="2"/>
  <c r="N35" i="2"/>
  <c r="L35" i="2"/>
  <c r="G35" i="2"/>
  <c r="V33" i="1"/>
  <c r="N34" i="2"/>
  <c r="L34" i="2"/>
  <c r="G34" i="2"/>
  <c r="N33" i="2"/>
  <c r="L33" i="2"/>
  <c r="G33" i="2"/>
  <c r="G31" i="2"/>
  <c r="G30" i="2"/>
  <c r="G29" i="2"/>
  <c r="AG27" i="2"/>
  <c r="AG26" i="2"/>
  <c r="G26" i="2"/>
  <c r="AG25" i="2"/>
  <c r="G25" i="2"/>
  <c r="AG24" i="2"/>
  <c r="G24" i="2"/>
  <c r="AG23" i="2"/>
  <c r="G23" i="2"/>
  <c r="AG22" i="2"/>
  <c r="G22" i="2"/>
  <c r="AG21" i="2"/>
  <c r="G21" i="2"/>
  <c r="AG20" i="2"/>
  <c r="G20" i="2"/>
  <c r="AG19" i="2"/>
  <c r="G19" i="2"/>
  <c r="AG18" i="2"/>
  <c r="G18" i="2"/>
  <c r="AG17" i="2"/>
  <c r="G17" i="2"/>
  <c r="AG16" i="2"/>
  <c r="G16" i="2"/>
  <c r="AG15" i="2"/>
  <c r="G15" i="2"/>
  <c r="AG14" i="2"/>
  <c r="G14" i="2"/>
  <c r="AG13" i="2"/>
  <c r="G13" i="2"/>
  <c r="AG12" i="2"/>
  <c r="G12" i="2"/>
  <c r="AG11" i="2"/>
  <c r="G11" i="2"/>
  <c r="AG10" i="2"/>
  <c r="G10" i="2"/>
  <c r="AG9" i="2"/>
  <c r="G9" i="2"/>
  <c r="AG8" i="2"/>
  <c r="G8" i="2"/>
  <c r="AG7" i="2"/>
  <c r="G7" i="2"/>
  <c r="V32" i="1"/>
  <c r="H20" i="1"/>
  <c r="H30" i="1" s="1"/>
  <c r="H31" i="1" s="1"/>
  <c r="V12" i="1"/>
  <c r="N38" i="2" l="1"/>
  <c r="N41" i="2"/>
  <c r="L41" i="2"/>
  <c r="H29" i="1"/>
  <c r="W26" i="2"/>
  <c r="H19" i="1"/>
  <c r="T59" i="2"/>
  <c r="R24" i="2"/>
  <c r="W24" i="2"/>
  <c r="H21" i="1"/>
  <c r="H32" i="1" s="1"/>
  <c r="H14" i="1"/>
  <c r="R25" i="2"/>
  <c r="R32" i="2"/>
  <c r="H22" i="1"/>
  <c r="H33" i="1" s="1"/>
  <c r="R26" i="2"/>
  <c r="W25" i="2"/>
  <c r="R41" i="2"/>
  <c r="W41" i="2"/>
  <c r="W32" i="2"/>
  <c r="S38" i="2"/>
  <c r="V36" i="1" l="1"/>
  <c r="V35" i="1" s="1"/>
  <c r="H23" i="1"/>
  <c r="W27" i="2"/>
  <c r="R27" i="2"/>
  <c r="R43" i="2" l="1"/>
  <c r="W43" i="2"/>
  <c r="H34" i="1"/>
  <c r="H35" i="1" s="1"/>
  <c r="H24" i="1"/>
  <c r="W47" i="2" l="1"/>
  <c r="R47" i="2"/>
  <c r="H39" i="1"/>
  <c r="H36" i="1"/>
  <c r="H40" i="1"/>
  <c r="M26" i="2" l="1"/>
  <c r="M24" i="2"/>
  <c r="M32" i="2"/>
  <c r="M25" i="2"/>
  <c r="M27" i="2" l="1"/>
  <c r="M47" i="2" l="1"/>
  <c r="V29" i="1" l="1"/>
  <c r="W24" i="1" l="1"/>
  <c r="W23" i="1" l="1"/>
  <c r="U23" i="1" l="1"/>
  <c r="U24" i="1"/>
  <c r="W27" i="1" l="1"/>
  <c r="W28" i="1"/>
  <c r="T29" i="1" l="1"/>
  <c r="W29" i="1" s="1"/>
  <c r="AG10" i="31" l="1"/>
  <c r="AG18" i="31" l="1"/>
  <c r="AG17" i="31" l="1"/>
  <c r="AG23" i="31" l="1"/>
  <c r="AG25" i="31" l="1"/>
  <c r="AG26" i="31"/>
  <c r="AG20" i="31" l="1"/>
  <c r="AG19" i="31"/>
  <c r="AG11" i="31"/>
  <c r="AG12" i="31"/>
  <c r="AG22" i="31"/>
  <c r="AG15" i="31" l="1"/>
  <c r="AG8" i="31"/>
  <c r="AG16" i="31"/>
  <c r="AG21" i="31"/>
  <c r="AG14" i="31"/>
  <c r="AG9" i="31"/>
  <c r="AG13" i="31" l="1"/>
  <c r="AG7" i="31" l="1"/>
  <c r="AG27" i="31" l="1"/>
  <c r="AG24" i="31"/>
  <c r="U28" i="1" l="1"/>
  <c r="S29" i="1" l="1"/>
  <c r="U29" i="1" s="1"/>
  <c r="U27" i="1"/>
  <c r="E21" i="1" l="1"/>
  <c r="J21" i="1" l="1"/>
  <c r="O41" i="2" l="1"/>
  <c r="O40" i="32"/>
  <c r="O41" i="31" l="1"/>
  <c r="O40" i="33"/>
  <c r="O24" i="2" l="1"/>
  <c r="O24" i="32"/>
  <c r="J24" i="2"/>
  <c r="J24" i="32"/>
  <c r="J24" i="31" l="1"/>
  <c r="O24" i="31"/>
  <c r="J24" i="33"/>
  <c r="O24" i="33"/>
  <c r="S33" i="1" l="1"/>
  <c r="S32" i="1" l="1"/>
  <c r="T52" i="2"/>
  <c r="T58" i="2"/>
  <c r="T52" i="31" l="1"/>
  <c r="T58" i="31"/>
  <c r="T61" i="2" l="1"/>
  <c r="T61" i="31" l="1"/>
  <c r="E32" i="1" l="1"/>
  <c r="J32" i="1"/>
  <c r="O25" i="2" l="1"/>
  <c r="O25" i="32"/>
  <c r="J25" i="2"/>
  <c r="J25" i="32"/>
  <c r="O25" i="31" l="1"/>
  <c r="J25" i="33"/>
  <c r="J25" i="31"/>
  <c r="O25" i="33"/>
  <c r="J32" i="2" l="1"/>
  <c r="J31" i="32"/>
  <c r="O32" i="2" l="1"/>
  <c r="O31" i="32"/>
  <c r="J32" i="31" l="1"/>
  <c r="J31" i="33"/>
  <c r="O32" i="31" l="1"/>
  <c r="O31" i="33"/>
  <c r="J57" i="31"/>
  <c r="E22" i="1" l="1"/>
  <c r="J22" i="1" l="1"/>
  <c r="E33" i="1" l="1"/>
  <c r="J33" i="1"/>
  <c r="T32" i="2" l="1"/>
  <c r="T31" i="32"/>
  <c r="T49" i="32" l="1"/>
  <c r="T32" i="31"/>
  <c r="T31" i="33"/>
  <c r="T51" i="2"/>
  <c r="T49" i="33" l="1"/>
  <c r="T51" i="31"/>
  <c r="J58" i="31"/>
  <c r="J26" i="2" l="1"/>
  <c r="J26" i="32"/>
  <c r="O26" i="2"/>
  <c r="O26" i="32"/>
  <c r="J27" i="32" l="1"/>
  <c r="J27" i="2"/>
  <c r="O27" i="32"/>
  <c r="O27" i="2"/>
  <c r="J26" i="33" l="1"/>
  <c r="O26" i="33"/>
  <c r="J26" i="31"/>
  <c r="J47" i="2"/>
  <c r="O43" i="2"/>
  <c r="O47" i="2" s="1"/>
  <c r="O42" i="32"/>
  <c r="O26" i="31"/>
  <c r="E14" i="1"/>
  <c r="J46" i="32"/>
  <c r="O46" i="32" l="1"/>
  <c r="O49" i="2"/>
  <c r="O27" i="31"/>
  <c r="J27" i="33"/>
  <c r="O27" i="33"/>
  <c r="J27" i="31"/>
  <c r="O50" i="2" l="1"/>
  <c r="J14" i="1"/>
  <c r="O43" i="31"/>
  <c r="O47" i="31" s="1"/>
  <c r="J46" i="33"/>
  <c r="J47" i="31"/>
  <c r="O42" i="33"/>
  <c r="O49" i="31" l="1"/>
  <c r="O46" i="33"/>
  <c r="O50" i="31" l="1"/>
  <c r="T24" i="2" l="1"/>
  <c r="T24" i="32"/>
  <c r="T24" i="33" l="1"/>
  <c r="T24" i="31"/>
  <c r="T25" i="2" l="1"/>
  <c r="T25" i="31" l="1"/>
  <c r="T25" i="33"/>
  <c r="E20" i="1" l="1"/>
  <c r="J20" i="1" l="1"/>
  <c r="T26" i="2"/>
  <c r="E30" i="1"/>
  <c r="T26" i="32"/>
  <c r="E23" i="1"/>
  <c r="E24" i="1" s="1"/>
  <c r="E19" i="1"/>
  <c r="J30" i="1" l="1"/>
  <c r="T27" i="2"/>
  <c r="E31" i="1"/>
  <c r="J31" i="1" l="1"/>
  <c r="J23" i="1"/>
  <c r="J19" i="1"/>
  <c r="T26" i="31"/>
  <c r="T26" i="33"/>
  <c r="T27" i="33" l="1"/>
  <c r="T27" i="31"/>
  <c r="J24" i="1"/>
  <c r="T48" i="33" l="1"/>
  <c r="S34" i="1"/>
  <c r="T50" i="2"/>
  <c r="E29" i="1" l="1"/>
  <c r="E34" i="1"/>
  <c r="T53" i="2"/>
  <c r="T54" i="2" l="1"/>
  <c r="T55" i="2"/>
  <c r="E35" i="1"/>
  <c r="T62" i="2"/>
  <c r="T66" i="2"/>
  <c r="T41" i="2"/>
  <c r="T50" i="31"/>
  <c r="J29" i="1"/>
  <c r="J34" i="1"/>
  <c r="T40" i="32"/>
  <c r="S36" i="1" l="1"/>
  <c r="T43" i="2"/>
  <c r="T53" i="31"/>
  <c r="T55" i="31" s="1"/>
  <c r="T62" i="31"/>
  <c r="T69" i="31"/>
  <c r="T40" i="33"/>
  <c r="T63" i="2"/>
  <c r="E36" i="1"/>
  <c r="E40" i="1"/>
  <c r="E39" i="1"/>
  <c r="T41" i="31"/>
  <c r="J35" i="1"/>
  <c r="S35" i="1" l="1"/>
  <c r="J40" i="1"/>
  <c r="J36" i="1"/>
  <c r="J39" i="1"/>
  <c r="T42" i="33"/>
  <c r="T54" i="31"/>
  <c r="T68" i="2"/>
  <c r="T69" i="2" s="1"/>
  <c r="T44" i="2"/>
  <c r="T47" i="2"/>
  <c r="T63" i="31"/>
  <c r="T43" i="31"/>
  <c r="T51" i="33" l="1"/>
  <c r="T52" i="33" s="1"/>
  <c r="T43" i="33"/>
  <c r="T46" i="33"/>
  <c r="T71" i="31"/>
  <c r="T44" i="31"/>
  <c r="T47" i="31"/>
  <c r="T72" i="31" l="1"/>
  <c r="T25" i="37" l="1"/>
  <c r="T27" i="37"/>
  <c r="T26" i="37" l="1"/>
  <c r="T28" i="37" s="1"/>
  <c r="Y25" i="37"/>
  <c r="Y27" i="37" l="1"/>
  <c r="Y26" i="37" l="1"/>
  <c r="Y28" i="37" s="1"/>
  <c r="AE11" i="31" l="1"/>
  <c r="AE11" i="33"/>
  <c r="AE17" i="31"/>
  <c r="AE17" i="33"/>
  <c r="AE18" i="33"/>
  <c r="AE18" i="31"/>
  <c r="AE20" i="33"/>
  <c r="AE20" i="31"/>
  <c r="AE16" i="31" l="1"/>
  <c r="AE16" i="33"/>
  <c r="AE13" i="31"/>
  <c r="AE13" i="33"/>
  <c r="AE15" i="33"/>
  <c r="AE15" i="31"/>
  <c r="AE12" i="33"/>
  <c r="AE12" i="31"/>
  <c r="AE14" i="33"/>
  <c r="AE14" i="31"/>
  <c r="AE22" i="31"/>
  <c r="AE22" i="33"/>
  <c r="AE9" i="31"/>
  <c r="AE9" i="33"/>
  <c r="AE21" i="31"/>
  <c r="AE21" i="33"/>
  <c r="AE19" i="31"/>
  <c r="AE19" i="33"/>
  <c r="AE8" i="33"/>
  <c r="AE8" i="31"/>
  <c r="AE10" i="33"/>
  <c r="AE10" i="31"/>
  <c r="AE23" i="33"/>
  <c r="AE23" i="31"/>
  <c r="AE7" i="33"/>
  <c r="AE7" i="31"/>
  <c r="AE26" i="31" l="1"/>
  <c r="AE26" i="33"/>
  <c r="AE25" i="33"/>
  <c r="AE25" i="31"/>
  <c r="AE27" i="33"/>
  <c r="AE27" i="31"/>
  <c r="AE24" i="33"/>
  <c r="AE24" i="31"/>
  <c r="V19" i="37" l="1"/>
  <c r="X19" i="37"/>
  <c r="V16" i="37"/>
  <c r="X16" i="37"/>
  <c r="V17" i="37"/>
  <c r="X17" i="37"/>
  <c r="V9" i="37"/>
  <c r="X9" i="37"/>
  <c r="X13" i="37"/>
  <c r="V13" i="37"/>
  <c r="X21" i="37"/>
  <c r="V21" i="37"/>
  <c r="X14" i="37"/>
  <c r="V14" i="37"/>
  <c r="X24" i="37"/>
  <c r="V24" i="37"/>
  <c r="X22" i="37"/>
  <c r="V22" i="37"/>
  <c r="X15" i="37"/>
  <c r="V15" i="37"/>
  <c r="X11" i="37"/>
  <c r="V11" i="37"/>
  <c r="X8" i="37"/>
  <c r="V8" i="37"/>
  <c r="U25" i="37"/>
  <c r="V12" i="37"/>
  <c r="X12" i="37"/>
  <c r="U26" i="37"/>
  <c r="X23" i="37"/>
  <c r="V23" i="37"/>
  <c r="V20" i="37"/>
  <c r="U27" i="37"/>
  <c r="X20" i="37"/>
  <c r="X18" i="37"/>
  <c r="V18" i="37"/>
  <c r="X10" i="37"/>
  <c r="V10" i="37"/>
  <c r="AC15" i="37" l="1"/>
  <c r="AA22" i="37"/>
  <c r="AA23" i="37"/>
  <c r="AA17" i="37"/>
  <c r="AA8" i="37"/>
  <c r="AC19" i="37"/>
  <c r="AC24" i="37"/>
  <c r="AA11" i="37"/>
  <c r="AA21" i="37"/>
  <c r="AC16" i="37"/>
  <c r="AC20" i="37"/>
  <c r="AC14" i="37"/>
  <c r="AC12" i="37"/>
  <c r="AF19" i="33"/>
  <c r="AF19" i="31"/>
  <c r="AF17" i="31"/>
  <c r="AF17" i="33"/>
  <c r="AC18" i="37"/>
  <c r="AA18" i="37"/>
  <c r="AA9" i="37"/>
  <c r="AC9" i="37"/>
  <c r="AF7" i="31"/>
  <c r="AF7" i="33"/>
  <c r="V27" i="37"/>
  <c r="X27" i="37"/>
  <c r="X26" i="37"/>
  <c r="V26" i="37"/>
  <c r="AF12" i="31"/>
  <c r="AF12" i="33"/>
  <c r="AA10" i="37"/>
  <c r="AC10" i="37"/>
  <c r="AF13" i="33"/>
  <c r="AF13" i="31"/>
  <c r="AF18" i="33"/>
  <c r="AF18" i="31"/>
  <c r="AF11" i="33"/>
  <c r="AF11" i="31"/>
  <c r="AF9" i="31"/>
  <c r="AF9" i="33"/>
  <c r="AF15" i="31"/>
  <c r="AF15" i="33"/>
  <c r="AF21" i="33"/>
  <c r="AF21" i="31"/>
  <c r="AF23" i="33"/>
  <c r="AF23" i="31"/>
  <c r="AF22" i="31"/>
  <c r="AF22" i="33"/>
  <c r="X25" i="37"/>
  <c r="U28" i="37"/>
  <c r="V25" i="37"/>
  <c r="AF16" i="33"/>
  <c r="AF16" i="31"/>
  <c r="AF14" i="31"/>
  <c r="AF14" i="33"/>
  <c r="AF20" i="33"/>
  <c r="AF20" i="31"/>
  <c r="AF8" i="33"/>
  <c r="AF8" i="31"/>
  <c r="AF10" i="33"/>
  <c r="AF10" i="31"/>
  <c r="AA12" i="37" l="1"/>
  <c r="AA14" i="37"/>
  <c r="AC11" i="37"/>
  <c r="AC8" i="37"/>
  <c r="AC23" i="37"/>
  <c r="Z26" i="37"/>
  <c r="AA15" i="37"/>
  <c r="Z25" i="37"/>
  <c r="AA25" i="37" s="1"/>
  <c r="AC13" i="37"/>
  <c r="AA13" i="37"/>
  <c r="AA16" i="37"/>
  <c r="AA19" i="37"/>
  <c r="AC17" i="37"/>
  <c r="AC22" i="37"/>
  <c r="AA24" i="37"/>
  <c r="Z27" i="37"/>
  <c r="AC27" i="37" s="1"/>
  <c r="AC21" i="37"/>
  <c r="AA20" i="37"/>
  <c r="AF25" i="31"/>
  <c r="AF25" i="33"/>
  <c r="AF26" i="33"/>
  <c r="AF26" i="31"/>
  <c r="X28" i="37"/>
  <c r="V28" i="37"/>
  <c r="AF27" i="31"/>
  <c r="AF27" i="33"/>
  <c r="AF24" i="33"/>
  <c r="AF24" i="31"/>
  <c r="AC26" i="37"/>
  <c r="AA26" i="37"/>
  <c r="AC25" i="37" l="1"/>
  <c r="AA27" i="37"/>
  <c r="Z28" i="37"/>
  <c r="AC28" i="37" s="1"/>
  <c r="AA28" i="37" l="1"/>
  <c r="T25" i="32"/>
  <c r="T27" i="32" s="1"/>
  <c r="T48" i="32" l="1"/>
  <c r="T42" i="32"/>
  <c r="T46" i="32" l="1"/>
  <c r="T43" i="32"/>
  <c r="T51" i="32"/>
  <c r="T52" i="32" s="1"/>
  <c r="P21" i="26" l="1"/>
  <c r="M13" i="26" l="1"/>
  <c r="P13" i="26"/>
  <c r="P18" i="26"/>
  <c r="M18" i="26"/>
  <c r="P19" i="26"/>
  <c r="M19" i="26"/>
  <c r="M21" i="26"/>
  <c r="P27" i="26"/>
  <c r="M27" i="26"/>
  <c r="P24" i="26"/>
  <c r="M24" i="26"/>
  <c r="J25" i="25" l="1"/>
  <c r="J22" i="25"/>
  <c r="J23" i="25"/>
  <c r="J16" i="25"/>
  <c r="J27" i="25"/>
  <c r="J13" i="25"/>
  <c r="J18" i="25"/>
  <c r="P23" i="26"/>
  <c r="M23" i="26"/>
  <c r="M8" i="26"/>
  <c r="P11" i="26"/>
  <c r="M10" i="26"/>
  <c r="P10" i="26"/>
  <c r="M11" i="26"/>
  <c r="J19" i="25"/>
  <c r="P25" i="26"/>
  <c r="M25" i="26"/>
  <c r="M16" i="26"/>
  <c r="P16" i="26"/>
  <c r="J24" i="25"/>
  <c r="J21" i="25"/>
  <c r="P8" i="26"/>
  <c r="P20" i="26"/>
  <c r="M20" i="26"/>
  <c r="P9" i="26"/>
  <c r="M9" i="26"/>
  <c r="J15" i="25"/>
  <c r="J20" i="25"/>
  <c r="M12" i="26"/>
  <c r="P12" i="26"/>
  <c r="P15" i="26"/>
  <c r="M15" i="26"/>
  <c r="J28" i="25"/>
  <c r="J17" i="25"/>
  <c r="P28" i="26"/>
  <c r="M28" i="26"/>
  <c r="J14" i="25"/>
  <c r="M17" i="26"/>
  <c r="P17" i="26"/>
  <c r="P26" i="26"/>
  <c r="M26" i="26"/>
  <c r="P14" i="26"/>
  <c r="M14" i="26"/>
  <c r="P22" i="26"/>
  <c r="M22" i="26"/>
  <c r="J26" i="25"/>
  <c r="J12" i="25"/>
  <c r="V26" i="25"/>
  <c r="V18" i="25" l="1"/>
  <c r="V12" i="25"/>
  <c r="V23" i="25"/>
  <c r="N16" i="25"/>
  <c r="N12" i="25"/>
  <c r="G12" i="26"/>
  <c r="W15" i="1"/>
  <c r="N22" i="25"/>
  <c r="W14" i="1"/>
  <c r="W16" i="1"/>
  <c r="W13" i="1"/>
  <c r="N23" i="25"/>
  <c r="N25" i="25"/>
  <c r="G16" i="26"/>
  <c r="J8" i="25"/>
  <c r="V16" i="25"/>
  <c r="V13" i="25"/>
  <c r="V22" i="25"/>
  <c r="V25" i="25"/>
  <c r="Q24" i="26"/>
  <c r="V20" i="25"/>
  <c r="Q19" i="26"/>
  <c r="Q18" i="26"/>
  <c r="V17" i="25"/>
  <c r="Q13" i="26"/>
  <c r="Q21" i="26"/>
  <c r="Q27" i="26"/>
  <c r="V14" i="25"/>
  <c r="U14" i="1"/>
  <c r="U15" i="1"/>
  <c r="U13" i="1"/>
  <c r="U16" i="1"/>
  <c r="V24" i="25"/>
  <c r="V15" i="25"/>
  <c r="V21" i="25"/>
  <c r="V28" i="25"/>
  <c r="V19" i="25"/>
  <c r="N21" i="25" l="1"/>
  <c r="V27" i="25"/>
  <c r="N19" i="25"/>
  <c r="N24" i="25"/>
  <c r="N27" i="25"/>
  <c r="N15" i="25"/>
  <c r="V8" i="25"/>
  <c r="N18" i="25"/>
  <c r="N20" i="25"/>
  <c r="T27" i="26"/>
  <c r="U10" i="1"/>
  <c r="J10" i="25"/>
  <c r="N26" i="25"/>
  <c r="N14" i="25"/>
  <c r="N28" i="25"/>
  <c r="J11" i="25"/>
  <c r="U11" i="1"/>
  <c r="N17" i="25"/>
  <c r="T24" i="26"/>
  <c r="N13" i="25"/>
  <c r="J9" i="25"/>
  <c r="T21" i="26"/>
  <c r="T18" i="26"/>
  <c r="T19" i="26"/>
  <c r="G26" i="26"/>
  <c r="G20" i="26"/>
  <c r="G22" i="26"/>
  <c r="G25" i="26"/>
  <c r="G17" i="26"/>
  <c r="G28" i="26"/>
  <c r="G15" i="26"/>
  <c r="G23" i="26"/>
  <c r="G27" i="26"/>
  <c r="G19" i="26"/>
  <c r="W11" i="1"/>
  <c r="U9" i="1"/>
  <c r="T12" i="1"/>
  <c r="W9" i="1"/>
  <c r="G24" i="26"/>
  <c r="W10" i="1"/>
  <c r="G21" i="26"/>
  <c r="G18" i="26"/>
  <c r="V10" i="25"/>
  <c r="V9" i="25"/>
  <c r="Q23" i="26"/>
  <c r="T23" i="26" s="1"/>
  <c r="Q11" i="26"/>
  <c r="Q10" i="26"/>
  <c r="Q8" i="26"/>
  <c r="Q20" i="26"/>
  <c r="T20" i="26" s="1"/>
  <c r="Q15" i="26"/>
  <c r="T15" i="26" s="1"/>
  <c r="Q25" i="26"/>
  <c r="T25" i="26" s="1"/>
  <c r="Q26" i="26"/>
  <c r="T26" i="26" s="1"/>
  <c r="V11" i="25"/>
  <c r="Q22" i="26"/>
  <c r="T22" i="26" s="1"/>
  <c r="Q14" i="26"/>
  <c r="Q17" i="26"/>
  <c r="T17" i="26" s="1"/>
  <c r="Q16" i="26"/>
  <c r="T16" i="26" s="1"/>
  <c r="Q12" i="26"/>
  <c r="T12" i="26" s="1"/>
  <c r="Q9" i="26"/>
  <c r="Q28" i="26"/>
  <c r="T28" i="26" s="1"/>
  <c r="T14" i="26" l="1"/>
  <c r="G14" i="26"/>
  <c r="AE8" i="2"/>
  <c r="AE14" i="32"/>
  <c r="AE14" i="2"/>
  <c r="AE16" i="2"/>
  <c r="AE16" i="32"/>
  <c r="S12" i="1"/>
  <c r="U12" i="1" s="1"/>
  <c r="T13" i="26"/>
  <c r="G13" i="26"/>
  <c r="T9" i="26"/>
  <c r="N9" i="25"/>
  <c r="N8" i="25"/>
  <c r="T8" i="26"/>
  <c r="AE8" i="32"/>
  <c r="N11" i="25"/>
  <c r="T11" i="26"/>
  <c r="AE19" i="32"/>
  <c r="AE19" i="2"/>
  <c r="T10" i="26"/>
  <c r="N10" i="25"/>
  <c r="AE22" i="2"/>
  <c r="AE22" i="32"/>
  <c r="AE13" i="32"/>
  <c r="AE13" i="2"/>
  <c r="G11" i="26"/>
  <c r="W12" i="1"/>
  <c r="AE26" i="32" l="1"/>
  <c r="AE24" i="32"/>
  <c r="AE24" i="2"/>
  <c r="AE15" i="2"/>
  <c r="AE15" i="32"/>
  <c r="G8" i="26"/>
  <c r="AE25" i="32"/>
  <c r="AE25" i="2"/>
  <c r="AE11" i="2"/>
  <c r="AE11" i="32"/>
  <c r="O25" i="37"/>
  <c r="AE7" i="2"/>
  <c r="AE7" i="32"/>
  <c r="G9" i="26"/>
  <c r="AE12" i="2"/>
  <c r="AE12" i="32"/>
  <c r="J26" i="37"/>
  <c r="AE23" i="32"/>
  <c r="AE23" i="2"/>
  <c r="G10" i="26"/>
  <c r="AE17" i="2"/>
  <c r="AE17" i="32"/>
  <c r="O27" i="37"/>
  <c r="AE10" i="32"/>
  <c r="AE10" i="2"/>
  <c r="AE21" i="2"/>
  <c r="AE21" i="32"/>
  <c r="AE18" i="32"/>
  <c r="AE18" i="2"/>
  <c r="AE26" i="2"/>
  <c r="J27" i="37"/>
  <c r="G16" i="25"/>
  <c r="Y16" i="25" s="1"/>
  <c r="Z16" i="25" s="1"/>
  <c r="AE9" i="32"/>
  <c r="AE9" i="2"/>
  <c r="AE27" i="2"/>
  <c r="AE27" i="32"/>
  <c r="AE20" i="32"/>
  <c r="AE20" i="2"/>
  <c r="J25" i="37"/>
  <c r="G23" i="25"/>
  <c r="Y23" i="25" s="1"/>
  <c r="Z23" i="25" s="1"/>
  <c r="G18" i="25"/>
  <c r="Y18" i="25" s="1"/>
  <c r="Z18" i="25" s="1"/>
  <c r="G19" i="25"/>
  <c r="Y19" i="25" s="1"/>
  <c r="Z19" i="25" s="1"/>
  <c r="G22" i="25"/>
  <c r="Y22" i="25" s="1"/>
  <c r="Z22" i="25" s="1"/>
  <c r="G12" i="25"/>
  <c r="Y12" i="25" s="1"/>
  <c r="Z12" i="25" s="1"/>
  <c r="G24" i="25"/>
  <c r="Y24" i="25" s="1"/>
  <c r="Z24" i="25" s="1"/>
  <c r="G27" i="25"/>
  <c r="Y27" i="25" s="1"/>
  <c r="Z27" i="25" s="1"/>
  <c r="G13" i="25"/>
  <c r="Y13" i="25" s="1"/>
  <c r="Z13" i="25" s="1"/>
  <c r="G25" i="25"/>
  <c r="Y25" i="25" s="1"/>
  <c r="Z25" i="25" s="1"/>
  <c r="G28" i="25"/>
  <c r="Y28" i="25" s="1"/>
  <c r="Z28" i="25" s="1"/>
  <c r="G15" i="25"/>
  <c r="Y15" i="25" s="1"/>
  <c r="Z15" i="25" s="1"/>
  <c r="G14" i="25"/>
  <c r="Y14" i="25" s="1"/>
  <c r="Z14" i="25" s="1"/>
  <c r="L12" i="37"/>
  <c r="N12" i="37"/>
  <c r="G17" i="25"/>
  <c r="Y17" i="25" s="1"/>
  <c r="Z17" i="25" s="1"/>
  <c r="G21" i="25"/>
  <c r="Y21" i="25" s="1"/>
  <c r="Z21" i="25" s="1"/>
  <c r="G26" i="25"/>
  <c r="Y26" i="25" s="1"/>
  <c r="Z26" i="25" s="1"/>
  <c r="O26" i="37"/>
  <c r="G11" i="25"/>
  <c r="Y11" i="25" s="1"/>
  <c r="Z11" i="25" s="1"/>
  <c r="G9" i="25"/>
  <c r="Y9" i="25" s="1"/>
  <c r="Z9" i="25" s="1"/>
  <c r="G8" i="25"/>
  <c r="Y8" i="25" s="1"/>
  <c r="Z8" i="25" s="1"/>
  <c r="G10" i="25"/>
  <c r="Y10" i="25" s="1"/>
  <c r="Z10" i="25" s="1"/>
  <c r="G20" i="25" l="1"/>
  <c r="Y20" i="25" s="1"/>
  <c r="Z20" i="25" s="1"/>
  <c r="O28" i="37"/>
  <c r="J28" i="37"/>
  <c r="N23" i="37"/>
  <c r="L23" i="37"/>
  <c r="N20" i="37"/>
  <c r="L20" i="37"/>
  <c r="K27" i="37"/>
  <c r="N17" i="37"/>
  <c r="L17" i="37"/>
  <c r="L8" i="37"/>
  <c r="N8" i="37"/>
  <c r="K25" i="37"/>
  <c r="N13" i="37"/>
  <c r="L13" i="37"/>
  <c r="L18" i="37"/>
  <c r="N18" i="37"/>
  <c r="K26" i="37"/>
  <c r="L21" i="37"/>
  <c r="N21" i="37"/>
  <c r="N15" i="37"/>
  <c r="L15" i="37"/>
  <c r="N10" i="37"/>
  <c r="L10" i="37"/>
  <c r="N16" i="37"/>
  <c r="L16" i="37"/>
  <c r="N9" i="37"/>
  <c r="L9" i="37"/>
  <c r="N11" i="37"/>
  <c r="L11" i="37"/>
  <c r="N14" i="37"/>
  <c r="L14" i="37"/>
  <c r="N22" i="37"/>
  <c r="L22" i="37"/>
  <c r="L24" i="37"/>
  <c r="N24" i="37"/>
  <c r="N19" i="37"/>
  <c r="L19" i="37"/>
  <c r="L27" i="37" l="1"/>
  <c r="N27" i="37"/>
  <c r="N25" i="37"/>
  <c r="K28" i="37"/>
  <c r="L25" i="37"/>
  <c r="N26" i="37"/>
  <c r="L26" i="37"/>
  <c r="L28" i="37" l="1"/>
  <c r="N28" i="37"/>
  <c r="V14" i="28" l="1"/>
  <c r="J14" i="27"/>
  <c r="M17" i="27"/>
  <c r="P20" i="27"/>
  <c r="V12" i="27"/>
  <c r="S8" i="28"/>
  <c r="S12" i="28"/>
  <c r="V15" i="28"/>
  <c r="P26" i="27"/>
  <c r="V13" i="27"/>
  <c r="S13" i="28"/>
  <c r="V24" i="28"/>
  <c r="M19" i="27"/>
  <c r="P25" i="27"/>
  <c r="V14" i="27"/>
  <c r="S14" i="28"/>
  <c r="V22" i="28"/>
  <c r="M20" i="27"/>
  <c r="P27" i="27"/>
  <c r="P12" i="28"/>
  <c r="S12" i="27"/>
  <c r="V15" i="27"/>
  <c r="S15" i="28"/>
  <c r="V21" i="28"/>
  <c r="P23" i="27"/>
  <c r="S13" i="27"/>
  <c r="P13" i="28"/>
  <c r="V24" i="27"/>
  <c r="S24" i="28"/>
  <c r="V16" i="28"/>
  <c r="S28" i="27"/>
  <c r="P28" i="28"/>
  <c r="J15" i="27"/>
  <c r="M25" i="27"/>
  <c r="P28" i="27"/>
  <c r="S14" i="27"/>
  <c r="P14" i="28"/>
  <c r="V22" i="27"/>
  <c r="S22" i="28"/>
  <c r="V17" i="28"/>
  <c r="J22" i="27"/>
  <c r="M27" i="27"/>
  <c r="S15" i="27"/>
  <c r="P15" i="28"/>
  <c r="S21" i="28"/>
  <c r="V18" i="28"/>
  <c r="J16" i="27"/>
  <c r="J18" i="27"/>
  <c r="M23" i="27"/>
  <c r="S24" i="27"/>
  <c r="P24" i="28"/>
  <c r="S16" i="28"/>
  <c r="V19" i="28"/>
  <c r="J24" i="27"/>
  <c r="G21" i="27"/>
  <c r="G21" i="28"/>
  <c r="M28" i="27"/>
  <c r="S22" i="27"/>
  <c r="P22" i="28"/>
  <c r="S17" i="28"/>
  <c r="V20" i="28"/>
  <c r="J13" i="27"/>
  <c r="G14" i="27"/>
  <c r="G14" i="28"/>
  <c r="G16" i="27"/>
  <c r="G16" i="28"/>
  <c r="J20" i="27"/>
  <c r="P12" i="27"/>
  <c r="P21" i="28"/>
  <c r="S18" i="28"/>
  <c r="V26" i="28"/>
  <c r="J26" i="27"/>
  <c r="P13" i="27"/>
  <c r="P16" i="28"/>
  <c r="S19" i="28"/>
  <c r="V25" i="28"/>
  <c r="J21" i="27"/>
  <c r="G18" i="27"/>
  <c r="G18" i="28"/>
  <c r="J25" i="27"/>
  <c r="P14" i="27"/>
  <c r="P17" i="28"/>
  <c r="S20" i="28"/>
  <c r="V27" i="28"/>
  <c r="P19" i="27"/>
  <c r="G15" i="27"/>
  <c r="G15" i="28"/>
  <c r="G17" i="27"/>
  <c r="G17" i="28"/>
  <c r="J27" i="27"/>
  <c r="M12" i="27"/>
  <c r="P15" i="27"/>
  <c r="P18" i="28"/>
  <c r="V26" i="27"/>
  <c r="S26" i="28"/>
  <c r="V23" i="28"/>
  <c r="M18" i="27"/>
  <c r="J17" i="27"/>
  <c r="G26" i="27"/>
  <c r="G26" i="28"/>
  <c r="J23" i="27"/>
  <c r="M13" i="27"/>
  <c r="P24" i="27"/>
  <c r="P19" i="28"/>
  <c r="V25" i="27"/>
  <c r="S25" i="28"/>
  <c r="V28" i="28"/>
  <c r="M26" i="27"/>
  <c r="J28" i="27"/>
  <c r="M14" i="27"/>
  <c r="P22" i="27"/>
  <c r="P20" i="28"/>
  <c r="V27" i="27"/>
  <c r="S27" i="28"/>
  <c r="M16" i="27"/>
  <c r="G24" i="27"/>
  <c r="G24" i="28"/>
  <c r="G25" i="27"/>
  <c r="G25" i="28"/>
  <c r="P21" i="27"/>
  <c r="P26" i="28"/>
  <c r="S26" i="27"/>
  <c r="V23" i="27"/>
  <c r="S23" i="28"/>
  <c r="G13" i="27"/>
  <c r="G13" i="28"/>
  <c r="G22" i="27"/>
  <c r="G22" i="28"/>
  <c r="G20" i="27"/>
  <c r="G20" i="28"/>
  <c r="G23" i="27"/>
  <c r="G23" i="28"/>
  <c r="P16" i="27"/>
  <c r="V28" i="27"/>
  <c r="S28" i="28"/>
  <c r="G12" i="27"/>
  <c r="G12" i="28"/>
  <c r="J19" i="27"/>
  <c r="G19" i="27"/>
  <c r="G19" i="28"/>
  <c r="G27" i="27"/>
  <c r="G27" i="28"/>
  <c r="M15" i="27"/>
  <c r="M24" i="27"/>
  <c r="S25" i="27"/>
  <c r="P25" i="28"/>
  <c r="G28" i="27"/>
  <c r="G28" i="28"/>
  <c r="M22" i="27"/>
  <c r="P17" i="27"/>
  <c r="S27" i="27"/>
  <c r="P27" i="28"/>
  <c r="V12" i="28"/>
  <c r="J12" i="27"/>
  <c r="M21" i="27"/>
  <c r="P18" i="27"/>
  <c r="S23" i="27"/>
  <c r="P23" i="28"/>
  <c r="V13" i="28"/>
  <c r="M13" i="28" l="1"/>
  <c r="M14" i="28"/>
  <c r="M16" i="28"/>
  <c r="M19" i="28"/>
  <c r="M12" i="28"/>
  <c r="M22" i="28"/>
  <c r="P10" i="27"/>
  <c r="G11" i="27"/>
  <c r="G11" i="28"/>
  <c r="J16" i="28"/>
  <c r="J10" i="27"/>
  <c r="V9" i="28"/>
  <c r="J12" i="28"/>
  <c r="G10" i="27"/>
  <c r="G10" i="28"/>
  <c r="V8" i="28"/>
  <c r="J23" i="28"/>
  <c r="V10" i="28"/>
  <c r="M11" i="27"/>
  <c r="M10" i="27"/>
  <c r="P8" i="28"/>
  <c r="G9" i="27"/>
  <c r="G9" i="28"/>
  <c r="M9" i="27"/>
  <c r="J14" i="28"/>
  <c r="S10" i="28"/>
  <c r="P9" i="28"/>
  <c r="S9" i="27"/>
  <c r="V11" i="27"/>
  <c r="S11" i="28"/>
  <c r="V9" i="27"/>
  <c r="S9" i="28"/>
  <c r="J9" i="27"/>
  <c r="J20" i="28"/>
  <c r="P11" i="27"/>
  <c r="J17" i="28"/>
  <c r="J21" i="28"/>
  <c r="P11" i="28"/>
  <c r="S11" i="27"/>
  <c r="J27" i="28"/>
  <c r="V11" i="28"/>
  <c r="J22" i="28"/>
  <c r="J15" i="28"/>
  <c r="J28" i="28"/>
  <c r="J19" i="28"/>
  <c r="J25" i="28"/>
  <c r="P9" i="27"/>
  <c r="J11" i="27"/>
  <c r="J13" i="28"/>
  <c r="J26" i="28"/>
  <c r="J24" i="28"/>
  <c r="J18" i="28"/>
  <c r="P10" i="28"/>
  <c r="J8" i="27" l="1"/>
  <c r="M18" i="28"/>
  <c r="M26" i="28"/>
  <c r="M24" i="28"/>
  <c r="G8" i="28"/>
  <c r="M21" i="28"/>
  <c r="M17" i="28"/>
  <c r="M8" i="27"/>
  <c r="G8" i="27"/>
  <c r="M28" i="28"/>
  <c r="M15" i="28"/>
  <c r="M27" i="28"/>
  <c r="P8" i="27"/>
  <c r="M25" i="28"/>
  <c r="M23" i="28"/>
  <c r="M20" i="28"/>
  <c r="J8" i="28"/>
  <c r="J10" i="28"/>
  <c r="J11" i="28"/>
  <c r="J9" i="28"/>
  <c r="M9" i="28" l="1"/>
  <c r="M10" i="28"/>
  <c r="M11" i="28"/>
  <c r="M8" i="28"/>
  <c r="R14" i="26"/>
  <c r="J14" i="26"/>
  <c r="J23" i="26"/>
  <c r="R23" i="26"/>
  <c r="J25" i="26"/>
  <c r="R25" i="26"/>
  <c r="J27" i="26"/>
  <c r="R27" i="26"/>
  <c r="J12" i="26"/>
  <c r="R12" i="26"/>
  <c r="R15" i="26"/>
  <c r="J15" i="26"/>
  <c r="R28" i="26"/>
  <c r="J28" i="26"/>
  <c r="R13" i="26"/>
  <c r="J13" i="26"/>
  <c r="J26" i="26"/>
  <c r="R26" i="26"/>
  <c r="J24" i="26"/>
  <c r="R24" i="26"/>
  <c r="J22" i="26"/>
  <c r="R22" i="26"/>
  <c r="S28" i="26" l="1"/>
  <c r="U28" i="26"/>
  <c r="V28" i="26" s="1"/>
  <c r="S13" i="26"/>
  <c r="U13" i="26"/>
  <c r="V13" i="26" s="1"/>
  <c r="S15" i="26"/>
  <c r="U15" i="26"/>
  <c r="V15" i="26" s="1"/>
  <c r="S12" i="26"/>
  <c r="U12" i="26"/>
  <c r="V12" i="26" s="1"/>
  <c r="S27" i="26"/>
  <c r="U27" i="26"/>
  <c r="V27" i="26" s="1"/>
  <c r="S25" i="26"/>
  <c r="U25" i="26"/>
  <c r="V25" i="26" s="1"/>
  <c r="R11" i="26"/>
  <c r="J11" i="26"/>
  <c r="S23" i="26"/>
  <c r="U23" i="26"/>
  <c r="V23" i="26" s="1"/>
  <c r="S26" i="26"/>
  <c r="U26" i="26"/>
  <c r="V26" i="26" s="1"/>
  <c r="S24" i="26"/>
  <c r="U24" i="26"/>
  <c r="V24" i="26" s="1"/>
  <c r="S22" i="26"/>
  <c r="U22" i="26"/>
  <c r="V22" i="26" s="1"/>
  <c r="J9" i="26"/>
  <c r="R9" i="26"/>
  <c r="S14" i="26"/>
  <c r="U14" i="26"/>
  <c r="V14" i="26" s="1"/>
  <c r="AF20" i="2" l="1"/>
  <c r="AF20" i="32"/>
  <c r="S11" i="26"/>
  <c r="U11" i="26"/>
  <c r="V11" i="26" s="1"/>
  <c r="AF8" i="2"/>
  <c r="AF8" i="32"/>
  <c r="AF22" i="32"/>
  <c r="AF22" i="2"/>
  <c r="AF19" i="32"/>
  <c r="AF19" i="2"/>
  <c r="AF10" i="2"/>
  <c r="AF10" i="32"/>
  <c r="S9" i="26"/>
  <c r="U9" i="26"/>
  <c r="V9" i="26" s="1"/>
  <c r="AF7" i="2"/>
  <c r="AF7" i="32"/>
  <c r="AF9" i="2"/>
  <c r="AF9" i="32"/>
  <c r="AF17" i="2"/>
  <c r="AF17" i="32"/>
  <c r="AF21" i="2"/>
  <c r="AF21" i="32"/>
  <c r="AF23" i="2"/>
  <c r="AF23" i="32"/>
  <c r="AF18" i="2"/>
  <c r="AF18" i="32"/>
  <c r="AF26" i="32" l="1"/>
  <c r="AF26" i="2"/>
  <c r="AF24" i="2"/>
  <c r="AF24" i="32"/>
  <c r="W19" i="1" l="1"/>
  <c r="U19" i="1"/>
  <c r="W17" i="1"/>
  <c r="U17" i="1"/>
  <c r="S20" i="27" l="1"/>
  <c r="S19" i="27" l="1"/>
  <c r="S18" i="27" l="1"/>
  <c r="S17" i="27"/>
  <c r="S21" i="27"/>
  <c r="S16" i="27" l="1"/>
  <c r="S10" i="27" l="1"/>
  <c r="S8" i="27" l="1"/>
  <c r="V20" i="27"/>
  <c r="V21" i="27"/>
  <c r="V18" i="27" l="1"/>
  <c r="V19" i="27"/>
  <c r="V17" i="27" l="1"/>
  <c r="R20" i="26" l="1"/>
  <c r="J20" i="26"/>
  <c r="J21" i="26"/>
  <c r="R21" i="26"/>
  <c r="R18" i="26" l="1"/>
  <c r="J18" i="26"/>
  <c r="R19" i="26"/>
  <c r="J19" i="26"/>
  <c r="S21" i="26"/>
  <c r="U21" i="26"/>
  <c r="V21" i="26" s="1"/>
  <c r="S20" i="26"/>
  <c r="U20" i="26"/>
  <c r="V20" i="26" s="1"/>
  <c r="AF15" i="32" l="1"/>
  <c r="AF15" i="2"/>
  <c r="AF16" i="32"/>
  <c r="AF16" i="2"/>
  <c r="R17" i="26"/>
  <c r="J17" i="26"/>
  <c r="S19" i="26"/>
  <c r="U19" i="26"/>
  <c r="V19" i="26" s="1"/>
  <c r="S18" i="26"/>
  <c r="U18" i="26"/>
  <c r="V18" i="26" s="1"/>
  <c r="AF13" i="2" l="1"/>
  <c r="AF13" i="32"/>
  <c r="AF14" i="2"/>
  <c r="AF14" i="32"/>
  <c r="S17" i="26"/>
  <c r="U17" i="26"/>
  <c r="V17" i="26" s="1"/>
  <c r="AF12" i="32" l="1"/>
  <c r="AF12" i="2"/>
  <c r="V16" i="27"/>
  <c r="V10" i="27" l="1"/>
  <c r="V8" i="27" l="1"/>
  <c r="R16" i="26" l="1"/>
  <c r="J16" i="26"/>
  <c r="R8" i="26" l="1"/>
  <c r="J8" i="26"/>
  <c r="R10" i="26"/>
  <c r="J10" i="26"/>
  <c r="S16" i="26"/>
  <c r="U16" i="26"/>
  <c r="V16" i="26" s="1"/>
  <c r="S10" i="26" l="1"/>
  <c r="U10" i="26"/>
  <c r="V10" i="26" s="1"/>
  <c r="AF11" i="32"/>
  <c r="AF11" i="2"/>
  <c r="S8" i="26"/>
  <c r="U8" i="26"/>
  <c r="V8" i="26" s="1"/>
  <c r="AF27" i="2" l="1"/>
  <c r="AF27" i="32"/>
  <c r="AF25" i="32"/>
  <c r="AF25" i="2"/>
  <c r="W18" i="1" l="1"/>
  <c r="U18" i="1"/>
  <c r="W20" i="1"/>
  <c r="U20" i="1"/>
  <c r="AJ27" i="32"/>
  <c r="AI27" i="32"/>
  <c r="AJ27" i="2"/>
  <c r="AI27" i="2"/>
  <c r="R28" i="25" l="1"/>
  <c r="R13" i="25"/>
  <c r="R23" i="25"/>
  <c r="R17" i="25"/>
  <c r="R22" i="25"/>
  <c r="R15" i="25"/>
  <c r="R16" i="25"/>
  <c r="R19" i="25"/>
  <c r="R21" i="25"/>
  <c r="R26" i="25"/>
  <c r="R27" i="25"/>
  <c r="R24" i="25"/>
  <c r="R14" i="25"/>
  <c r="R18" i="25"/>
  <c r="R12" i="25"/>
  <c r="R20" i="25"/>
  <c r="R25" i="25"/>
  <c r="R11" i="25" l="1"/>
  <c r="R8" i="25"/>
  <c r="R10" i="25"/>
  <c r="R9" i="25"/>
  <c r="S12" i="37" l="1"/>
  <c r="Q12" i="37"/>
  <c r="S20" i="37"/>
  <c r="Q20" i="37"/>
  <c r="S18" i="37"/>
  <c r="Q18" i="37"/>
  <c r="S9" i="37"/>
  <c r="Q9" i="37"/>
  <c r="S17" i="37"/>
  <c r="Q17" i="37"/>
  <c r="S11" i="37"/>
  <c r="Q11" i="37"/>
  <c r="S23" i="37"/>
  <c r="Q23" i="37"/>
  <c r="S21" i="37"/>
  <c r="Q21" i="37"/>
  <c r="S14" i="37"/>
  <c r="Q14" i="37"/>
  <c r="S15" i="37"/>
  <c r="Q15" i="37"/>
  <c r="S19" i="37"/>
  <c r="Q19" i="37"/>
  <c r="S22" i="37" l="1"/>
  <c r="Q22" i="37"/>
  <c r="S24" i="37"/>
  <c r="Q24" i="37"/>
  <c r="S10" i="37"/>
  <c r="Q10" i="37"/>
  <c r="S16" i="37"/>
  <c r="Q16" i="37"/>
  <c r="P27" i="37"/>
  <c r="Q13" i="37"/>
  <c r="S13" i="37"/>
  <c r="Q8" i="37"/>
  <c r="S8" i="37"/>
  <c r="P25" i="37"/>
  <c r="P26" i="37"/>
  <c r="Q25" i="37" l="1"/>
  <c r="S25" i="37"/>
  <c r="P28" i="37"/>
  <c r="S27" i="37"/>
  <c r="Q27" i="37"/>
  <c r="S26" i="37"/>
  <c r="Q26" i="37"/>
  <c r="S28" i="37" l="1"/>
  <c r="Q28" i="37"/>
  <c r="U38" i="32" l="1"/>
  <c r="U39" i="32" s="1"/>
  <c r="U39" i="2"/>
  <c r="V39" i="2" l="1"/>
  <c r="X39" i="2"/>
  <c r="X38" i="32"/>
  <c r="V38" i="32"/>
  <c r="K23" i="32" l="1"/>
  <c r="F23" i="32" s="1"/>
  <c r="K23" i="2"/>
  <c r="K14" i="32"/>
  <c r="F14" i="32" s="1"/>
  <c r="K14" i="2"/>
  <c r="K30" i="2"/>
  <c r="K29" i="32"/>
  <c r="F29" i="32" s="1"/>
  <c r="K31" i="2"/>
  <c r="K30" i="32"/>
  <c r="F30" i="32" s="1"/>
  <c r="K8" i="2"/>
  <c r="K8" i="32"/>
  <c r="F8" i="32" s="1"/>
  <c r="K9" i="32"/>
  <c r="F9" i="32" s="1"/>
  <c r="K9" i="2"/>
  <c r="K15" i="2"/>
  <c r="K15" i="32"/>
  <c r="F15" i="32" s="1"/>
  <c r="K13" i="32"/>
  <c r="F13" i="32" s="1"/>
  <c r="K13" i="2"/>
  <c r="K17" i="2"/>
  <c r="K17" i="32"/>
  <c r="F17" i="32" s="1"/>
  <c r="K16" i="32"/>
  <c r="F16" i="32" s="1"/>
  <c r="K16" i="2"/>
  <c r="K18" i="32"/>
  <c r="F18" i="32" s="1"/>
  <c r="K18" i="2"/>
  <c r="K21" i="2"/>
  <c r="K21" i="32"/>
  <c r="F21" i="32" s="1"/>
  <c r="K10" i="2"/>
  <c r="K10" i="32"/>
  <c r="F10" i="32" s="1"/>
  <c r="K19" i="2"/>
  <c r="K19" i="32"/>
  <c r="F19" i="32" s="1"/>
  <c r="K12" i="32"/>
  <c r="F12" i="32" s="1"/>
  <c r="K12" i="2"/>
  <c r="K20" i="32"/>
  <c r="F20" i="32" s="1"/>
  <c r="K20" i="2"/>
  <c r="F16" i="1"/>
  <c r="P14" i="32" l="1"/>
  <c r="P14" i="2"/>
  <c r="I16" i="1"/>
  <c r="G16" i="1"/>
  <c r="P12" i="32"/>
  <c r="P12" i="2"/>
  <c r="P16" i="2"/>
  <c r="P16" i="32"/>
  <c r="P11" i="2"/>
  <c r="P11" i="32"/>
  <c r="P9" i="2"/>
  <c r="P9" i="32"/>
  <c r="P30" i="2"/>
  <c r="P29" i="32"/>
  <c r="P28" i="2"/>
  <c r="F11" i="1"/>
  <c r="P29" i="2"/>
  <c r="P28" i="32"/>
  <c r="P13" i="32"/>
  <c r="P13" i="2"/>
  <c r="P19" i="2"/>
  <c r="P19" i="32"/>
  <c r="P15" i="2"/>
  <c r="P15" i="32"/>
  <c r="P18" i="32"/>
  <c r="P18" i="2"/>
  <c r="P30" i="32"/>
  <c r="P31" i="2"/>
  <c r="P22" i="32"/>
  <c r="P22" i="2"/>
  <c r="P7" i="32"/>
  <c r="P7" i="2"/>
  <c r="P20" i="2"/>
  <c r="P20" i="32"/>
  <c r="P17" i="32"/>
  <c r="P17" i="2"/>
  <c r="P8" i="2"/>
  <c r="P8" i="32"/>
  <c r="P21" i="2"/>
  <c r="P21" i="32"/>
  <c r="P10" i="2"/>
  <c r="P10" i="32"/>
  <c r="P23" i="2"/>
  <c r="P23" i="32"/>
  <c r="L13" i="2"/>
  <c r="N13" i="2"/>
  <c r="K29" i="2"/>
  <c r="K28" i="32"/>
  <c r="F28" i="32" s="1"/>
  <c r="N13" i="32"/>
  <c r="L13" i="32"/>
  <c r="N9" i="32"/>
  <c r="L9" i="32"/>
  <c r="N8" i="2"/>
  <c r="L8" i="2"/>
  <c r="N19" i="2"/>
  <c r="L19" i="2"/>
  <c r="K26" i="2"/>
  <c r="L14" i="2"/>
  <c r="N14" i="2"/>
  <c r="N21" i="2"/>
  <c r="L21" i="2"/>
  <c r="N14" i="32"/>
  <c r="L14" i="32"/>
  <c r="L16" i="32"/>
  <c r="N16" i="32"/>
  <c r="K22" i="2"/>
  <c r="K22" i="32"/>
  <c r="F22" i="32" s="1"/>
  <c r="N15" i="32"/>
  <c r="L15" i="32"/>
  <c r="N15" i="2"/>
  <c r="L15" i="2"/>
  <c r="N9" i="2"/>
  <c r="L9" i="2"/>
  <c r="N20" i="32"/>
  <c r="L20" i="32"/>
  <c r="N12" i="2"/>
  <c r="L12" i="2"/>
  <c r="L12" i="32"/>
  <c r="N12" i="32"/>
  <c r="K26" i="32"/>
  <c r="L19" i="32"/>
  <c r="N19" i="32"/>
  <c r="L31" i="2"/>
  <c r="N31" i="2"/>
  <c r="N10" i="32"/>
  <c r="L10" i="32"/>
  <c r="N10" i="2"/>
  <c r="L10" i="2"/>
  <c r="N21" i="32"/>
  <c r="L21" i="32"/>
  <c r="L18" i="2"/>
  <c r="N18" i="2"/>
  <c r="L23" i="2"/>
  <c r="N23" i="2"/>
  <c r="L16" i="2"/>
  <c r="N16" i="2"/>
  <c r="N17" i="32"/>
  <c r="L17" i="32"/>
  <c r="L17" i="2"/>
  <c r="N17" i="2"/>
  <c r="K11" i="32"/>
  <c r="F11" i="32" s="1"/>
  <c r="K11" i="2"/>
  <c r="L20" i="2"/>
  <c r="N20" i="2"/>
  <c r="L8" i="32"/>
  <c r="N8" i="32"/>
  <c r="N30" i="32"/>
  <c r="L30" i="32"/>
  <c r="K7" i="32"/>
  <c r="F7" i="32" s="1"/>
  <c r="K7" i="2"/>
  <c r="L29" i="32"/>
  <c r="N29" i="32"/>
  <c r="L30" i="2"/>
  <c r="N30" i="2"/>
  <c r="N18" i="32"/>
  <c r="L18" i="32"/>
  <c r="N23" i="32"/>
  <c r="L23" i="32"/>
  <c r="F17" i="1"/>
  <c r="F7" i="1"/>
  <c r="F12" i="1"/>
  <c r="F10" i="1"/>
  <c r="G17" i="1" l="1"/>
  <c r="I17" i="1"/>
  <c r="G11" i="1"/>
  <c r="F21" i="1"/>
  <c r="I11" i="1"/>
  <c r="Q10" i="2"/>
  <c r="S10" i="2"/>
  <c r="Q9" i="32"/>
  <c r="S9" i="32"/>
  <c r="S8" i="32"/>
  <c r="Q8" i="32"/>
  <c r="Q18" i="32"/>
  <c r="S18" i="32"/>
  <c r="Q9" i="2"/>
  <c r="S9" i="2"/>
  <c r="U21" i="2"/>
  <c r="U21" i="32"/>
  <c r="S8" i="2"/>
  <c r="Q8" i="2"/>
  <c r="Q15" i="32"/>
  <c r="S15" i="32"/>
  <c r="Q11" i="32"/>
  <c r="P25" i="32"/>
  <c r="S11" i="32"/>
  <c r="P33" i="2"/>
  <c r="P32" i="32"/>
  <c r="Q15" i="2"/>
  <c r="S15" i="2"/>
  <c r="P25" i="2"/>
  <c r="Q11" i="2"/>
  <c r="S11" i="2"/>
  <c r="S17" i="2"/>
  <c r="Q17" i="2"/>
  <c r="Q16" i="32"/>
  <c r="S16" i="32"/>
  <c r="S17" i="32"/>
  <c r="Q17" i="32"/>
  <c r="Q19" i="32"/>
  <c r="S19" i="32"/>
  <c r="P26" i="32"/>
  <c r="Q16" i="2"/>
  <c r="S16" i="2"/>
  <c r="U14" i="32"/>
  <c r="U14" i="2"/>
  <c r="Q19" i="2"/>
  <c r="S19" i="2"/>
  <c r="P26" i="2"/>
  <c r="U9" i="32"/>
  <c r="U9" i="2"/>
  <c r="Q13" i="2"/>
  <c r="S13" i="2"/>
  <c r="Q28" i="2"/>
  <c r="S28" i="2"/>
  <c r="Q21" i="32"/>
  <c r="S21" i="32"/>
  <c r="Q21" i="2"/>
  <c r="S21" i="2"/>
  <c r="U18" i="2"/>
  <c r="U18" i="32"/>
  <c r="Q12" i="2"/>
  <c r="S12" i="2"/>
  <c r="Q20" i="32"/>
  <c r="S20" i="32"/>
  <c r="Q20" i="2"/>
  <c r="S20" i="2"/>
  <c r="P33" i="32"/>
  <c r="P34" i="2"/>
  <c r="S13" i="32"/>
  <c r="Q13" i="32"/>
  <c r="S22" i="32"/>
  <c r="Q22" i="32"/>
  <c r="S10" i="32"/>
  <c r="Q10" i="32"/>
  <c r="G10" i="1"/>
  <c r="I10" i="1"/>
  <c r="Q29" i="32"/>
  <c r="S29" i="32"/>
  <c r="S31" i="2"/>
  <c r="Q31" i="2"/>
  <c r="S30" i="32"/>
  <c r="Q30" i="32"/>
  <c r="S18" i="2"/>
  <c r="Q18" i="2"/>
  <c r="U16" i="32"/>
  <c r="U16" i="2"/>
  <c r="Q23" i="32"/>
  <c r="S23" i="32"/>
  <c r="S7" i="2"/>
  <c r="P24" i="2"/>
  <c r="Q7" i="2"/>
  <c r="P31" i="32"/>
  <c r="Q28" i="32"/>
  <c r="S28" i="32"/>
  <c r="S14" i="2"/>
  <c r="Q14" i="2"/>
  <c r="U30" i="32"/>
  <c r="U31" i="2"/>
  <c r="Q30" i="2"/>
  <c r="S30" i="2"/>
  <c r="I12" i="1"/>
  <c r="F22" i="1"/>
  <c r="G12" i="1"/>
  <c r="F15" i="1"/>
  <c r="F20" i="1" s="1"/>
  <c r="Q23" i="2"/>
  <c r="S23" i="2"/>
  <c r="P24" i="32"/>
  <c r="S7" i="32"/>
  <c r="Q7" i="32"/>
  <c r="P32" i="2"/>
  <c r="Q29" i="2"/>
  <c r="S29" i="2"/>
  <c r="Q14" i="32"/>
  <c r="S14" i="32"/>
  <c r="U37" i="2"/>
  <c r="U36" i="32"/>
  <c r="Q12" i="32"/>
  <c r="S12" i="32"/>
  <c r="U20" i="32"/>
  <c r="U20" i="2"/>
  <c r="Q22" i="2"/>
  <c r="S22" i="2"/>
  <c r="L11" i="2"/>
  <c r="K25" i="2"/>
  <c r="N11" i="2"/>
  <c r="L26" i="32"/>
  <c r="N26" i="32"/>
  <c r="F26" i="32"/>
  <c r="F26" i="2"/>
  <c r="L26" i="2"/>
  <c r="N26" i="2"/>
  <c r="I7" i="1"/>
  <c r="G7" i="1"/>
  <c r="K24" i="2"/>
  <c r="N7" i="2"/>
  <c r="L7" i="2"/>
  <c r="N7" i="32"/>
  <c r="L7" i="32"/>
  <c r="K24" i="32"/>
  <c r="F9" i="1"/>
  <c r="N28" i="32"/>
  <c r="K31" i="32"/>
  <c r="L28" i="32"/>
  <c r="N11" i="32"/>
  <c r="L11" i="32"/>
  <c r="K25" i="32"/>
  <c r="L22" i="32"/>
  <c r="N22" i="32"/>
  <c r="N29" i="2"/>
  <c r="K32" i="2"/>
  <c r="L29" i="2"/>
  <c r="L22" i="2"/>
  <c r="N22" i="2"/>
  <c r="F26" i="1"/>
  <c r="G20" i="1" l="1"/>
  <c r="I20" i="1"/>
  <c r="U10" i="32"/>
  <c r="U10" i="2"/>
  <c r="S34" i="2"/>
  <c r="Q34" i="2"/>
  <c r="Q33" i="32"/>
  <c r="S33" i="32"/>
  <c r="V31" i="2"/>
  <c r="X31" i="2"/>
  <c r="X18" i="32"/>
  <c r="V18" i="32"/>
  <c r="U17" i="2"/>
  <c r="U17" i="32"/>
  <c r="F18" i="1"/>
  <c r="X18" i="2"/>
  <c r="V18" i="2"/>
  <c r="U15" i="2"/>
  <c r="U15" i="32"/>
  <c r="U22" i="2"/>
  <c r="U22" i="32"/>
  <c r="V36" i="32"/>
  <c r="X36" i="32"/>
  <c r="X37" i="2"/>
  <c r="V37" i="2"/>
  <c r="U60" i="2"/>
  <c r="V60" i="2" s="1"/>
  <c r="U30" i="2"/>
  <c r="U29" i="32"/>
  <c r="S32" i="2"/>
  <c r="Q32" i="2"/>
  <c r="G15" i="1"/>
  <c r="I15" i="1"/>
  <c r="V16" i="2"/>
  <c r="X16" i="2"/>
  <c r="X9" i="2"/>
  <c r="V9" i="2"/>
  <c r="V9" i="32"/>
  <c r="X9" i="32"/>
  <c r="V14" i="2"/>
  <c r="X14" i="2"/>
  <c r="S26" i="32"/>
  <c r="Q26" i="32"/>
  <c r="U11" i="32"/>
  <c r="U11" i="2"/>
  <c r="S31" i="32"/>
  <c r="Q31" i="32"/>
  <c r="I21" i="1"/>
  <c r="F32" i="1"/>
  <c r="G21" i="1"/>
  <c r="U36" i="2"/>
  <c r="U35" i="32"/>
  <c r="U19" i="32"/>
  <c r="U19" i="2"/>
  <c r="Q26" i="2"/>
  <c r="S26" i="2"/>
  <c r="U34" i="32"/>
  <c r="U35" i="2"/>
  <c r="U23" i="32"/>
  <c r="U23" i="2"/>
  <c r="I26" i="1"/>
  <c r="G26" i="1"/>
  <c r="U13" i="2"/>
  <c r="U13" i="32"/>
  <c r="X20" i="32"/>
  <c r="V20" i="32"/>
  <c r="Q25" i="2"/>
  <c r="S25" i="2"/>
  <c r="V14" i="32"/>
  <c r="X14" i="32"/>
  <c r="F27" i="1"/>
  <c r="Q25" i="32"/>
  <c r="S25" i="32"/>
  <c r="Q24" i="32"/>
  <c r="P27" i="32"/>
  <c r="S24" i="32"/>
  <c r="P27" i="2"/>
  <c r="Q24" i="2"/>
  <c r="S24" i="2"/>
  <c r="U12" i="2"/>
  <c r="U12" i="32"/>
  <c r="V20" i="2"/>
  <c r="X20" i="2"/>
  <c r="I22" i="1"/>
  <c r="G22" i="1"/>
  <c r="Q32" i="32"/>
  <c r="S32" i="32"/>
  <c r="U8" i="2"/>
  <c r="U8" i="32"/>
  <c r="X21" i="2"/>
  <c r="V21" i="2"/>
  <c r="V16" i="32"/>
  <c r="X16" i="32"/>
  <c r="V30" i="32"/>
  <c r="X30" i="32"/>
  <c r="Q33" i="2"/>
  <c r="S33" i="2"/>
  <c r="X21" i="32"/>
  <c r="V21" i="32"/>
  <c r="N24" i="2"/>
  <c r="L24" i="2"/>
  <c r="F24" i="2"/>
  <c r="K27" i="2"/>
  <c r="N32" i="2"/>
  <c r="G47" i="2"/>
  <c r="F47" i="2"/>
  <c r="L32" i="2"/>
  <c r="L24" i="32"/>
  <c r="F24" i="32"/>
  <c r="K27" i="32"/>
  <c r="N24" i="32"/>
  <c r="K46" i="2"/>
  <c r="K47" i="2" s="1"/>
  <c r="K45" i="32"/>
  <c r="K46" i="32" s="1"/>
  <c r="G9" i="1"/>
  <c r="I9" i="1"/>
  <c r="F25" i="32"/>
  <c r="N25" i="32"/>
  <c r="L25" i="32"/>
  <c r="F25" i="2"/>
  <c r="N25" i="2"/>
  <c r="L25" i="2"/>
  <c r="G46" i="32"/>
  <c r="G31" i="32"/>
  <c r="L31" i="32"/>
  <c r="F46" i="32"/>
  <c r="N31" i="32"/>
  <c r="I18" i="1" l="1"/>
  <c r="G18" i="1"/>
  <c r="U28" i="32"/>
  <c r="U29" i="2"/>
  <c r="F25" i="1"/>
  <c r="X8" i="2"/>
  <c r="V8" i="2"/>
  <c r="X34" i="32"/>
  <c r="V34" i="32"/>
  <c r="X19" i="32"/>
  <c r="V19" i="32"/>
  <c r="U26" i="32"/>
  <c r="V22" i="2"/>
  <c r="X22" i="2"/>
  <c r="V10" i="32"/>
  <c r="X10" i="32"/>
  <c r="U28" i="2"/>
  <c r="U32" i="32"/>
  <c r="U33" i="2"/>
  <c r="V17" i="2"/>
  <c r="X17" i="2"/>
  <c r="X35" i="2"/>
  <c r="T34" i="1"/>
  <c r="V35" i="2"/>
  <c r="G27" i="1"/>
  <c r="I27" i="1"/>
  <c r="X15" i="32"/>
  <c r="V15" i="32"/>
  <c r="G32" i="1"/>
  <c r="I32" i="1"/>
  <c r="X13" i="32"/>
  <c r="V13" i="32"/>
  <c r="P39" i="32"/>
  <c r="P46" i="2"/>
  <c r="P45" i="32"/>
  <c r="P40" i="2"/>
  <c r="F13" i="1"/>
  <c r="U34" i="2"/>
  <c r="U33" i="32"/>
  <c r="X23" i="2"/>
  <c r="V23" i="2"/>
  <c r="U37" i="32"/>
  <c r="U38" i="2"/>
  <c r="F33" i="1"/>
  <c r="X35" i="32"/>
  <c r="V35" i="32"/>
  <c r="X15" i="2"/>
  <c r="V15" i="2"/>
  <c r="X12" i="2"/>
  <c r="V12" i="2"/>
  <c r="X29" i="32"/>
  <c r="V29" i="32"/>
  <c r="V11" i="32"/>
  <c r="X11" i="32"/>
  <c r="U25" i="32"/>
  <c r="X19" i="2"/>
  <c r="V19" i="2"/>
  <c r="U26" i="2"/>
  <c r="V36" i="2"/>
  <c r="U59" i="2"/>
  <c r="V59" i="2" s="1"/>
  <c r="X36" i="2"/>
  <c r="V13" i="2"/>
  <c r="X13" i="2"/>
  <c r="X30" i="2"/>
  <c r="V30" i="2"/>
  <c r="S27" i="2"/>
  <c r="Q27" i="2"/>
  <c r="V23" i="32"/>
  <c r="X23" i="32"/>
  <c r="X22" i="32"/>
  <c r="V22" i="32"/>
  <c r="F19" i="1"/>
  <c r="V12" i="32"/>
  <c r="X12" i="32"/>
  <c r="X17" i="32"/>
  <c r="V17" i="32"/>
  <c r="U7" i="32"/>
  <c r="U7" i="2"/>
  <c r="V11" i="2"/>
  <c r="X11" i="2"/>
  <c r="U25" i="2"/>
  <c r="Q27" i="32"/>
  <c r="S27" i="32"/>
  <c r="X8" i="32"/>
  <c r="V8" i="32"/>
  <c r="X10" i="2"/>
  <c r="V10" i="2"/>
  <c r="G27" i="32"/>
  <c r="F27" i="32"/>
  <c r="L27" i="32"/>
  <c r="N27" i="32"/>
  <c r="G27" i="2"/>
  <c r="F27" i="2"/>
  <c r="F23" i="2"/>
  <c r="L27" i="2"/>
  <c r="N27" i="2"/>
  <c r="V7" i="32" l="1"/>
  <c r="U24" i="32"/>
  <c r="X7" i="32"/>
  <c r="X26" i="32"/>
  <c r="V26" i="32"/>
  <c r="X38" i="2"/>
  <c r="V38" i="2"/>
  <c r="U61" i="2"/>
  <c r="V61" i="2" s="1"/>
  <c r="V37" i="32"/>
  <c r="X37" i="32"/>
  <c r="V33" i="32"/>
  <c r="X33" i="32"/>
  <c r="V25" i="2"/>
  <c r="X25" i="2"/>
  <c r="X7" i="2"/>
  <c r="U24" i="2"/>
  <c r="V7" i="2"/>
  <c r="X26" i="2"/>
  <c r="V26" i="2"/>
  <c r="X34" i="2"/>
  <c r="V34" i="2"/>
  <c r="T33" i="1"/>
  <c r="U32" i="2"/>
  <c r="V29" i="2"/>
  <c r="X29" i="2"/>
  <c r="G33" i="1"/>
  <c r="I33" i="1"/>
  <c r="X33" i="2"/>
  <c r="T32" i="1"/>
  <c r="V33" i="2"/>
  <c r="U58" i="2"/>
  <c r="U52" i="2"/>
  <c r="X28" i="32"/>
  <c r="U31" i="32"/>
  <c r="V28" i="32"/>
  <c r="I13" i="1"/>
  <c r="G13" i="1"/>
  <c r="F23" i="1"/>
  <c r="F14" i="1"/>
  <c r="V32" i="32"/>
  <c r="X32" i="32"/>
  <c r="U50" i="32"/>
  <c r="V50" i="32" s="1"/>
  <c r="W34" i="1"/>
  <c r="U34" i="1"/>
  <c r="X25" i="32"/>
  <c r="V25" i="32"/>
  <c r="Q40" i="2"/>
  <c r="S40" i="2"/>
  <c r="P41" i="2"/>
  <c r="S39" i="32"/>
  <c r="Q39" i="32"/>
  <c r="P40" i="32"/>
  <c r="G25" i="1"/>
  <c r="I25" i="1"/>
  <c r="F29" i="1"/>
  <c r="F30" i="1"/>
  <c r="I19" i="1"/>
  <c r="G19" i="1"/>
  <c r="X28" i="2"/>
  <c r="V28" i="2"/>
  <c r="F28" i="1"/>
  <c r="G30" i="1" l="1"/>
  <c r="I30" i="1"/>
  <c r="F31" i="1"/>
  <c r="U32" i="1"/>
  <c r="W32" i="1"/>
  <c r="V58" i="2"/>
  <c r="U45" i="32"/>
  <c r="U40" i="2"/>
  <c r="U46" i="2"/>
  <c r="F38" i="1"/>
  <c r="I23" i="1"/>
  <c r="G23" i="1"/>
  <c r="F34" i="1"/>
  <c r="F24" i="1"/>
  <c r="U49" i="32"/>
  <c r="V49" i="32" s="1"/>
  <c r="X31" i="32"/>
  <c r="V31" i="32"/>
  <c r="G28" i="1"/>
  <c r="I28" i="1"/>
  <c r="X32" i="2"/>
  <c r="V32" i="2"/>
  <c r="U51" i="2"/>
  <c r="V51" i="2" s="1"/>
  <c r="I29" i="1"/>
  <c r="G29" i="1"/>
  <c r="V24" i="2"/>
  <c r="X24" i="2"/>
  <c r="U27" i="2"/>
  <c r="V52" i="2"/>
  <c r="W33" i="1"/>
  <c r="U33" i="1"/>
  <c r="V24" i="32"/>
  <c r="U27" i="32"/>
  <c r="X24" i="32"/>
  <c r="Q40" i="32"/>
  <c r="S40" i="32"/>
  <c r="P42" i="32"/>
  <c r="Q41" i="2"/>
  <c r="S41" i="2"/>
  <c r="P43" i="2"/>
  <c r="I14" i="1"/>
  <c r="G14" i="1"/>
  <c r="V39" i="32" l="1"/>
  <c r="X39" i="32"/>
  <c r="U40" i="32"/>
  <c r="I34" i="1"/>
  <c r="G34" i="1"/>
  <c r="V27" i="2"/>
  <c r="U50" i="2"/>
  <c r="X27" i="2"/>
  <c r="U43" i="2"/>
  <c r="U47" i="2" s="1"/>
  <c r="V27" i="32"/>
  <c r="X27" i="32"/>
  <c r="U48" i="32"/>
  <c r="U42" i="32"/>
  <c r="F35" i="1"/>
  <c r="U46" i="32"/>
  <c r="G43" i="2"/>
  <c r="P49" i="2"/>
  <c r="S43" i="2"/>
  <c r="P44" i="2"/>
  <c r="R44" i="2"/>
  <c r="Q43" i="2"/>
  <c r="P47" i="2"/>
  <c r="I31" i="1"/>
  <c r="G31" i="1"/>
  <c r="G42" i="32"/>
  <c r="R43" i="32"/>
  <c r="P43" i="32"/>
  <c r="S42" i="32"/>
  <c r="Q42" i="32"/>
  <c r="P46" i="32"/>
  <c r="I24" i="1"/>
  <c r="G24" i="1"/>
  <c r="X40" i="2"/>
  <c r="U62" i="2"/>
  <c r="V40" i="2"/>
  <c r="U66" i="2"/>
  <c r="V66" i="2" s="1"/>
  <c r="U41" i="2"/>
  <c r="P50" i="2" l="1"/>
  <c r="Q49" i="2"/>
  <c r="I35" i="1"/>
  <c r="F39" i="1"/>
  <c r="G35" i="1"/>
  <c r="F36" i="1"/>
  <c r="F40" i="1"/>
  <c r="V48" i="32"/>
  <c r="V50" i="2"/>
  <c r="W50" i="2"/>
  <c r="U53" i="2"/>
  <c r="U55" i="2" s="1"/>
  <c r="V55" i="2" s="1"/>
  <c r="V62" i="2"/>
  <c r="V63" i="2" s="1"/>
  <c r="U63" i="2"/>
  <c r="U51" i="32"/>
  <c r="V51" i="32" s="1"/>
  <c r="X42" i="32"/>
  <c r="V42" i="32"/>
  <c r="U43" i="32"/>
  <c r="G43" i="32"/>
  <c r="X40" i="32"/>
  <c r="V40" i="32"/>
  <c r="U68" i="2"/>
  <c r="U69" i="2" s="1"/>
  <c r="V69" i="2" s="1"/>
  <c r="G44" i="2"/>
  <c r="V43" i="2"/>
  <c r="X43" i="2"/>
  <c r="U44" i="2"/>
  <c r="T36" i="1"/>
  <c r="X41" i="2"/>
  <c r="V41" i="2"/>
  <c r="U38" i="33" l="1"/>
  <c r="U39" i="31"/>
  <c r="V53" i="2"/>
  <c r="V54" i="2" s="1"/>
  <c r="U54" i="2"/>
  <c r="U36" i="1"/>
  <c r="W36" i="1"/>
  <c r="T35" i="1"/>
  <c r="U52" i="32"/>
  <c r="V52" i="32" s="1"/>
  <c r="I36" i="1"/>
  <c r="G36" i="1"/>
  <c r="Q51" i="2"/>
  <c r="Q50" i="2"/>
  <c r="W35" i="1" l="1"/>
  <c r="U35" i="1"/>
  <c r="V39" i="31"/>
  <c r="X39" i="31"/>
  <c r="X38" i="33"/>
  <c r="V38" i="33"/>
  <c r="P18" i="33" l="1"/>
  <c r="P18" i="31"/>
  <c r="P21" i="31"/>
  <c r="P21" i="33"/>
  <c r="P20" i="33"/>
  <c r="P20" i="31"/>
  <c r="P23" i="31"/>
  <c r="P23" i="33"/>
  <c r="K7" i="33"/>
  <c r="K7" i="31"/>
  <c r="K9" i="33"/>
  <c r="K9" i="31"/>
  <c r="K8" i="33"/>
  <c r="K8" i="31"/>
  <c r="K29" i="33"/>
  <c r="K30" i="31"/>
  <c r="K31" i="31"/>
  <c r="K30" i="33"/>
  <c r="K11" i="33"/>
  <c r="K11" i="31"/>
  <c r="P22" i="33" l="1"/>
  <c r="P22" i="31"/>
  <c r="P19" i="33"/>
  <c r="P19" i="31"/>
  <c r="Q20" i="31"/>
  <c r="S20" i="31"/>
  <c r="S20" i="33"/>
  <c r="Q20" i="33"/>
  <c r="Q21" i="33"/>
  <c r="S21" i="33"/>
  <c r="Q23" i="31"/>
  <c r="S23" i="31"/>
  <c r="P30" i="33"/>
  <c r="P31" i="31"/>
  <c r="Q21" i="31"/>
  <c r="S21" i="31"/>
  <c r="Q18" i="31"/>
  <c r="S18" i="31"/>
  <c r="Q23" i="33"/>
  <c r="S23" i="33"/>
  <c r="S18" i="33"/>
  <c r="Q18" i="33"/>
  <c r="K19" i="33"/>
  <c r="K19" i="31"/>
  <c r="L11" i="31"/>
  <c r="N11" i="31"/>
  <c r="AI11" i="33"/>
  <c r="L11" i="33"/>
  <c r="N11" i="33"/>
  <c r="N30" i="33"/>
  <c r="L30" i="33"/>
  <c r="N31" i="31"/>
  <c r="F31" i="31"/>
  <c r="L31" i="31"/>
  <c r="K10" i="33"/>
  <c r="K10" i="31"/>
  <c r="N30" i="31"/>
  <c r="L30" i="31"/>
  <c r="F30" i="31"/>
  <c r="N29" i="33"/>
  <c r="L29" i="33"/>
  <c r="N8" i="31"/>
  <c r="L8" i="31"/>
  <c r="K15" i="33"/>
  <c r="K15" i="31"/>
  <c r="N9" i="31"/>
  <c r="L9" i="31"/>
  <c r="K22" i="33"/>
  <c r="K22" i="31"/>
  <c r="N7" i="31"/>
  <c r="L7" i="31"/>
  <c r="K29" i="31"/>
  <c r="K28" i="33"/>
  <c r="AI7" i="33"/>
  <c r="N7" i="33"/>
  <c r="L7" i="33"/>
  <c r="K18" i="33"/>
  <c r="K18" i="31"/>
  <c r="K12" i="31"/>
  <c r="K12" i="33"/>
  <c r="K23" i="33"/>
  <c r="K23" i="31"/>
  <c r="K14" i="33"/>
  <c r="K14" i="31"/>
  <c r="K20" i="33"/>
  <c r="K20" i="31"/>
  <c r="K17" i="33"/>
  <c r="K17" i="31"/>
  <c r="AI8" i="33"/>
  <c r="L8" i="33"/>
  <c r="N8" i="33"/>
  <c r="K16" i="33"/>
  <c r="K16" i="31"/>
  <c r="AI9" i="33"/>
  <c r="N9" i="33"/>
  <c r="L9" i="33"/>
  <c r="K21" i="31"/>
  <c r="K21" i="33"/>
  <c r="K13" i="31"/>
  <c r="K13" i="33"/>
  <c r="K9" i="1"/>
  <c r="U36" i="31" l="1"/>
  <c r="U35" i="33"/>
  <c r="U21" i="31"/>
  <c r="U21" i="33"/>
  <c r="U18" i="33"/>
  <c r="U18" i="31"/>
  <c r="U19" i="33"/>
  <c r="U19" i="31"/>
  <c r="Q30" i="33"/>
  <c r="S30" i="33"/>
  <c r="P26" i="31"/>
  <c r="Q19" i="31"/>
  <c r="S19" i="31"/>
  <c r="U20" i="33"/>
  <c r="U20" i="31"/>
  <c r="S19" i="33"/>
  <c r="P26" i="33"/>
  <c r="Q19" i="33"/>
  <c r="Q31" i="31"/>
  <c r="S31" i="31"/>
  <c r="U37" i="31"/>
  <c r="U36" i="33"/>
  <c r="S22" i="31"/>
  <c r="Q22" i="31"/>
  <c r="U23" i="33"/>
  <c r="U23" i="31"/>
  <c r="U22" i="33"/>
  <c r="U22" i="31"/>
  <c r="Q22" i="33"/>
  <c r="S22" i="33"/>
  <c r="AI17" i="33"/>
  <c r="L17" i="33"/>
  <c r="N17" i="33"/>
  <c r="N28" i="33"/>
  <c r="K31" i="33"/>
  <c r="L28" i="33"/>
  <c r="N20" i="31"/>
  <c r="L20" i="31"/>
  <c r="N29" i="31"/>
  <c r="F29" i="31"/>
  <c r="K32" i="31"/>
  <c r="L29" i="31"/>
  <c r="L10" i="31"/>
  <c r="N10" i="31"/>
  <c r="AI20" i="33"/>
  <c r="L20" i="33"/>
  <c r="N20" i="33"/>
  <c r="AI10" i="33"/>
  <c r="N10" i="33"/>
  <c r="L10" i="33"/>
  <c r="AI13" i="33"/>
  <c r="N13" i="33"/>
  <c r="L13" i="33"/>
  <c r="L13" i="31"/>
  <c r="N13" i="31"/>
  <c r="N14" i="31"/>
  <c r="L14" i="31"/>
  <c r="K24" i="31"/>
  <c r="AI14" i="33"/>
  <c r="L14" i="33"/>
  <c r="N14" i="33"/>
  <c r="AI21" i="33"/>
  <c r="L21" i="33"/>
  <c r="N21" i="33"/>
  <c r="N22" i="31"/>
  <c r="L22" i="31"/>
  <c r="N17" i="31"/>
  <c r="L17" i="31"/>
  <c r="AI22" i="33"/>
  <c r="N22" i="33"/>
  <c r="L22" i="33"/>
  <c r="AI23" i="33"/>
  <c r="L23" i="33"/>
  <c r="N23" i="33"/>
  <c r="L12" i="31"/>
  <c r="N12" i="31"/>
  <c r="AI15" i="33"/>
  <c r="L15" i="33"/>
  <c r="N15" i="33"/>
  <c r="L18" i="31"/>
  <c r="N18" i="31"/>
  <c r="L9" i="1"/>
  <c r="N9" i="1"/>
  <c r="K26" i="31"/>
  <c r="N19" i="31"/>
  <c r="L19" i="31"/>
  <c r="K24" i="33"/>
  <c r="AI19" i="33"/>
  <c r="K26" i="33"/>
  <c r="L19" i="33"/>
  <c r="N19" i="33"/>
  <c r="L21" i="31"/>
  <c r="N21" i="31"/>
  <c r="N23" i="31"/>
  <c r="L23" i="31"/>
  <c r="K25" i="33"/>
  <c r="AI12" i="33"/>
  <c r="N12" i="33"/>
  <c r="L12" i="33"/>
  <c r="N15" i="31"/>
  <c r="L15" i="31"/>
  <c r="N16" i="31"/>
  <c r="L16" i="31"/>
  <c r="K25" i="31"/>
  <c r="AI16" i="33"/>
  <c r="N16" i="33"/>
  <c r="L16" i="33"/>
  <c r="AI18" i="33"/>
  <c r="L18" i="33"/>
  <c r="N18" i="33"/>
  <c r="K7" i="1"/>
  <c r="Q26" i="33" l="1"/>
  <c r="S26" i="33"/>
  <c r="X22" i="33"/>
  <c r="V22" i="33"/>
  <c r="V19" i="33"/>
  <c r="X19" i="33"/>
  <c r="U26" i="33"/>
  <c r="S26" i="31"/>
  <c r="Q26" i="31"/>
  <c r="V21" i="33"/>
  <c r="X21" i="33"/>
  <c r="X20" i="33"/>
  <c r="V20" i="33"/>
  <c r="U26" i="31"/>
  <c r="X19" i="31"/>
  <c r="V19" i="31"/>
  <c r="X21" i="31"/>
  <c r="V21" i="31"/>
  <c r="V23" i="31"/>
  <c r="X23" i="31"/>
  <c r="V36" i="33"/>
  <c r="X36" i="33"/>
  <c r="X22" i="31"/>
  <c r="V22" i="31"/>
  <c r="V23" i="33"/>
  <c r="X23" i="33"/>
  <c r="V37" i="31"/>
  <c r="X37" i="31"/>
  <c r="U60" i="31"/>
  <c r="V60" i="31" s="1"/>
  <c r="X35" i="33"/>
  <c r="V35" i="33"/>
  <c r="V18" i="33"/>
  <c r="X18" i="33"/>
  <c r="X36" i="31"/>
  <c r="U59" i="31"/>
  <c r="V59" i="31" s="1"/>
  <c r="V36" i="31"/>
  <c r="X20" i="31"/>
  <c r="V20" i="31"/>
  <c r="V18" i="31"/>
  <c r="X18" i="31"/>
  <c r="AI24" i="33"/>
  <c r="F24" i="33"/>
  <c r="L24" i="33"/>
  <c r="N24" i="33"/>
  <c r="K27" i="33"/>
  <c r="F25" i="31"/>
  <c r="L25" i="31"/>
  <c r="N25" i="31"/>
  <c r="L26" i="31"/>
  <c r="F26" i="31"/>
  <c r="N26" i="31"/>
  <c r="F32" i="31"/>
  <c r="M45" i="31"/>
  <c r="K57" i="31"/>
  <c r="L57" i="31" s="1"/>
  <c r="L32" i="31"/>
  <c r="K45" i="31"/>
  <c r="N32" i="31"/>
  <c r="N24" i="31"/>
  <c r="F24" i="31"/>
  <c r="L24" i="31"/>
  <c r="K27" i="31"/>
  <c r="K44" i="33"/>
  <c r="N31" i="33"/>
  <c r="L31" i="33"/>
  <c r="M44" i="33"/>
  <c r="L7" i="1"/>
  <c r="N7" i="1"/>
  <c r="AI26" i="33"/>
  <c r="F26" i="33"/>
  <c r="N26" i="33"/>
  <c r="L26" i="33"/>
  <c r="L25" i="33"/>
  <c r="N25" i="33"/>
  <c r="AI25" i="33"/>
  <c r="F25" i="33"/>
  <c r="K46" i="31"/>
  <c r="K45" i="33"/>
  <c r="K46" i="33" s="1"/>
  <c r="X26" i="31" l="1"/>
  <c r="V26" i="31"/>
  <c r="AK26" i="33"/>
  <c r="X26" i="33"/>
  <c r="V26" i="33"/>
  <c r="F27" i="33"/>
  <c r="N27" i="33"/>
  <c r="L27" i="33"/>
  <c r="G27" i="33"/>
  <c r="AI27" i="33"/>
  <c r="K47" i="31"/>
  <c r="F23" i="31"/>
  <c r="N27" i="31"/>
  <c r="F27" i="31"/>
  <c r="L27" i="31"/>
  <c r="G27" i="31"/>
  <c r="P10" i="33" l="1"/>
  <c r="P10" i="31"/>
  <c r="S10" i="31" l="1"/>
  <c r="Q10" i="31"/>
  <c r="Q10" i="33"/>
  <c r="S10" i="33"/>
  <c r="P30" i="31" l="1"/>
  <c r="P29" i="33"/>
  <c r="K12" i="1"/>
  <c r="P7" i="33" l="1"/>
  <c r="P7" i="31"/>
  <c r="P9" i="33"/>
  <c r="P9" i="31"/>
  <c r="P32" i="33"/>
  <c r="P33" i="31"/>
  <c r="P12" i="33"/>
  <c r="P12" i="31"/>
  <c r="P15" i="31"/>
  <c r="P15" i="33"/>
  <c r="K11" i="1"/>
  <c r="P28" i="31"/>
  <c r="P28" i="33"/>
  <c r="P29" i="31"/>
  <c r="P11" i="33"/>
  <c r="P11" i="31"/>
  <c r="P16" i="31"/>
  <c r="P16" i="33"/>
  <c r="P14" i="31"/>
  <c r="P14" i="33"/>
  <c r="P8" i="31"/>
  <c r="P8" i="33"/>
  <c r="P13" i="31"/>
  <c r="P13" i="33"/>
  <c r="Q29" i="33"/>
  <c r="S29" i="33"/>
  <c r="P17" i="31"/>
  <c r="P17" i="33"/>
  <c r="N12" i="1"/>
  <c r="L12" i="1"/>
  <c r="S30" i="31"/>
  <c r="Q30" i="31"/>
  <c r="K10" i="1"/>
  <c r="P31" i="33" l="1"/>
  <c r="Q28" i="33"/>
  <c r="S28" i="33"/>
  <c r="S17" i="33"/>
  <c r="Q17" i="33"/>
  <c r="Q33" i="31"/>
  <c r="S33" i="31"/>
  <c r="Q16" i="31"/>
  <c r="S16" i="31"/>
  <c r="S29" i="31"/>
  <c r="Q29" i="31"/>
  <c r="P32" i="31"/>
  <c r="Q28" i="31"/>
  <c r="AJ28" i="31"/>
  <c r="AK28" i="31"/>
  <c r="S28" i="31"/>
  <c r="Q15" i="33"/>
  <c r="S15" i="33"/>
  <c r="S12" i="33"/>
  <c r="Q12" i="33"/>
  <c r="S8" i="33"/>
  <c r="Q8" i="33"/>
  <c r="Q32" i="33"/>
  <c r="S32" i="33"/>
  <c r="S17" i="31"/>
  <c r="Q17" i="31"/>
  <c r="S13" i="31"/>
  <c r="Q13" i="31"/>
  <c r="Q8" i="31"/>
  <c r="S8" i="31"/>
  <c r="Q9" i="31"/>
  <c r="S9" i="31"/>
  <c r="S15" i="31"/>
  <c r="Q15" i="31"/>
  <c r="S13" i="33"/>
  <c r="Q13" i="33"/>
  <c r="S14" i="33"/>
  <c r="Q14" i="33"/>
  <c r="Q9" i="33"/>
  <c r="S9" i="33"/>
  <c r="P25" i="33"/>
  <c r="S11" i="33"/>
  <c r="Q11" i="33"/>
  <c r="L11" i="1"/>
  <c r="N11" i="1"/>
  <c r="N10" i="1"/>
  <c r="L10" i="1"/>
  <c r="S14" i="31"/>
  <c r="Q14" i="31"/>
  <c r="Q7" i="31"/>
  <c r="S7" i="31"/>
  <c r="P24" i="31"/>
  <c r="Q16" i="33"/>
  <c r="S16" i="33"/>
  <c r="S11" i="31"/>
  <c r="P25" i="31"/>
  <c r="Q11" i="31"/>
  <c r="Q12" i="31"/>
  <c r="S12" i="31"/>
  <c r="P24" i="33"/>
  <c r="S7" i="33"/>
  <c r="Q7" i="33"/>
  <c r="Q24" i="31" l="1"/>
  <c r="S24" i="31"/>
  <c r="P27" i="31"/>
  <c r="S25" i="33"/>
  <c r="Q25" i="33"/>
  <c r="Q24" i="33"/>
  <c r="P27" i="33"/>
  <c r="S24" i="33"/>
  <c r="Q25" i="31"/>
  <c r="S25" i="31"/>
  <c r="AK32" i="31"/>
  <c r="Q32" i="31"/>
  <c r="S32" i="31"/>
  <c r="AJ32" i="31"/>
  <c r="S31" i="33"/>
  <c r="Q31" i="33"/>
  <c r="Q27" i="33" l="1"/>
  <c r="S27" i="33"/>
  <c r="AJ27" i="31"/>
  <c r="S27" i="31"/>
  <c r="AK27" i="31"/>
  <c r="Q27" i="31"/>
  <c r="P33" i="33"/>
  <c r="P34" i="31"/>
  <c r="P39" i="33" l="1"/>
  <c r="P46" i="31"/>
  <c r="P45" i="33"/>
  <c r="P40" i="31"/>
  <c r="K13" i="1"/>
  <c r="S34" i="31"/>
  <c r="Q34" i="31"/>
  <c r="P41" i="31"/>
  <c r="S33" i="33"/>
  <c r="Q33" i="33"/>
  <c r="P40" i="33"/>
  <c r="S40" i="33" l="1"/>
  <c r="Q40" i="33"/>
  <c r="P42" i="33"/>
  <c r="N13" i="1"/>
  <c r="L13" i="1"/>
  <c r="K14" i="1"/>
  <c r="Q40" i="31"/>
  <c r="S40" i="31"/>
  <c r="P46" i="33"/>
  <c r="S39" i="33"/>
  <c r="Q39" i="33"/>
  <c r="P43" i="31"/>
  <c r="AK41" i="31"/>
  <c r="AJ41" i="31"/>
  <c r="Q41" i="31"/>
  <c r="S41" i="31"/>
  <c r="N14" i="1" l="1"/>
  <c r="L14" i="1"/>
  <c r="P44" i="31"/>
  <c r="AJ43" i="31"/>
  <c r="Q43" i="31"/>
  <c r="R44" i="31"/>
  <c r="S43" i="31"/>
  <c r="AK43" i="31"/>
  <c r="G43" i="31"/>
  <c r="P49" i="31"/>
  <c r="P43" i="33"/>
  <c r="G42" i="33"/>
  <c r="S42" i="33"/>
  <c r="R43" i="33"/>
  <c r="Q42" i="33"/>
  <c r="P47" i="31"/>
  <c r="P50" i="31" l="1"/>
  <c r="Q49" i="31"/>
  <c r="Q50" i="31" l="1"/>
  <c r="Q51" i="31"/>
  <c r="K17" i="1" l="1"/>
  <c r="N17" i="1" l="1"/>
  <c r="L17" i="1"/>
  <c r="K22" i="1"/>
  <c r="K16" i="1"/>
  <c r="N16" i="1" l="1"/>
  <c r="L16" i="1"/>
  <c r="K21" i="1"/>
  <c r="N22" i="1"/>
  <c r="L22" i="1"/>
  <c r="N21" i="1" l="1"/>
  <c r="L21" i="1"/>
  <c r="K15" i="1" l="1"/>
  <c r="K18" i="1"/>
  <c r="L18" i="1" l="1"/>
  <c r="N18" i="1"/>
  <c r="K23" i="1"/>
  <c r="U34" i="31"/>
  <c r="U33" i="33"/>
  <c r="N15" i="1"/>
  <c r="L15" i="1"/>
  <c r="K19" i="1"/>
  <c r="K20" i="1"/>
  <c r="L19" i="1" l="1"/>
  <c r="N19" i="1"/>
  <c r="X33" i="33"/>
  <c r="V33" i="33"/>
  <c r="K24" i="1"/>
  <c r="N23" i="1"/>
  <c r="L23" i="1"/>
  <c r="X34" i="31"/>
  <c r="V34" i="31"/>
  <c r="N20" i="1"/>
  <c r="L20" i="1"/>
  <c r="N24" i="1" l="1"/>
  <c r="L24" i="1"/>
  <c r="U10" i="33" l="1"/>
  <c r="U10" i="31"/>
  <c r="X10" i="31" l="1"/>
  <c r="V10" i="31"/>
  <c r="X10" i="33"/>
  <c r="V10" i="33"/>
  <c r="U7" i="33" l="1"/>
  <c r="U7" i="31"/>
  <c r="V7" i="31" l="1"/>
  <c r="X7" i="31"/>
  <c r="V7" i="33"/>
  <c r="X7" i="33"/>
  <c r="U8" i="33" l="1"/>
  <c r="U8" i="31"/>
  <c r="X8" i="31" l="1"/>
  <c r="V8" i="31"/>
  <c r="X8" i="33"/>
  <c r="V8" i="33"/>
  <c r="U9" i="31" l="1"/>
  <c r="U9" i="33"/>
  <c r="X9" i="33" l="1"/>
  <c r="V9" i="33"/>
  <c r="U24" i="33"/>
  <c r="V9" i="31"/>
  <c r="X9" i="31"/>
  <c r="U24" i="31"/>
  <c r="X24" i="31" l="1"/>
  <c r="V24" i="31"/>
  <c r="AK24" i="33"/>
  <c r="X24" i="33"/>
  <c r="V24" i="33"/>
  <c r="U17" i="33" l="1"/>
  <c r="U17" i="31"/>
  <c r="X17" i="31" l="1"/>
  <c r="V17" i="31"/>
  <c r="X17" i="33"/>
  <c r="V17" i="33"/>
  <c r="U16" i="33" l="1"/>
  <c r="U16" i="31"/>
  <c r="V16" i="31" l="1"/>
  <c r="X16" i="31"/>
  <c r="V16" i="33"/>
  <c r="X16" i="33"/>
  <c r="U11" i="33" l="1"/>
  <c r="U11" i="31"/>
  <c r="U12" i="31" l="1"/>
  <c r="U12" i="33"/>
  <c r="V11" i="31"/>
  <c r="X11" i="31"/>
  <c r="X11" i="33"/>
  <c r="V11" i="33"/>
  <c r="X12" i="33" l="1"/>
  <c r="V12" i="33"/>
  <c r="U14" i="33"/>
  <c r="U14" i="31"/>
  <c r="X12" i="31"/>
  <c r="V12" i="31"/>
  <c r="X14" i="31" l="1"/>
  <c r="V14" i="31"/>
  <c r="X14" i="33"/>
  <c r="V14" i="33"/>
  <c r="U15" i="31"/>
  <c r="U15" i="33"/>
  <c r="V15" i="31" l="1"/>
  <c r="X15" i="31"/>
  <c r="X15" i="33"/>
  <c r="V15" i="33"/>
  <c r="K25" i="1" l="1"/>
  <c r="U13" i="31"/>
  <c r="U13" i="33"/>
  <c r="V13" i="33" l="1"/>
  <c r="X13" i="33"/>
  <c r="U25" i="33"/>
  <c r="V13" i="31"/>
  <c r="X13" i="31"/>
  <c r="U25" i="31"/>
  <c r="L25" i="1"/>
  <c r="N25" i="1"/>
  <c r="K30" i="1"/>
  <c r="V25" i="31" l="1"/>
  <c r="X25" i="31"/>
  <c r="U27" i="31"/>
  <c r="AK25" i="33"/>
  <c r="V25" i="33"/>
  <c r="X25" i="33"/>
  <c r="U27" i="33"/>
  <c r="L30" i="1"/>
  <c r="K31" i="1"/>
  <c r="N30" i="1"/>
  <c r="N31" i="1" l="1"/>
  <c r="L31" i="1"/>
  <c r="AK27" i="33"/>
  <c r="V27" i="33"/>
  <c r="X27" i="33"/>
  <c r="V27" i="31"/>
  <c r="X27" i="31"/>
  <c r="U32" i="33" l="1"/>
  <c r="U33" i="31"/>
  <c r="U58" i="31" l="1"/>
  <c r="X33" i="31"/>
  <c r="U52" i="31"/>
  <c r="V33" i="31"/>
  <c r="U50" i="33"/>
  <c r="V50" i="33" s="1"/>
  <c r="X32" i="33"/>
  <c r="V32" i="33"/>
  <c r="V52" i="31" l="1"/>
  <c r="V58" i="31"/>
  <c r="U31" i="31" l="1"/>
  <c r="U30" i="33"/>
  <c r="X30" i="33" l="1"/>
  <c r="V30" i="33"/>
  <c r="X31" i="31"/>
  <c r="V31" i="31"/>
  <c r="K26" i="1"/>
  <c r="N26" i="1" l="1"/>
  <c r="L26" i="1"/>
  <c r="K32" i="1"/>
  <c r="U28" i="31" l="1"/>
  <c r="N32" i="1"/>
  <c r="L32" i="1"/>
  <c r="X28" i="31" l="1"/>
  <c r="V28" i="31"/>
  <c r="U37" i="33" l="1"/>
  <c r="U38" i="31"/>
  <c r="X37" i="33" l="1"/>
  <c r="V37" i="33"/>
  <c r="X38" i="31"/>
  <c r="V38" i="31"/>
  <c r="U61" i="31"/>
  <c r="V61" i="31" l="1"/>
  <c r="U30" i="31" l="1"/>
  <c r="U29" i="33"/>
  <c r="K27" i="1" l="1"/>
  <c r="V29" i="33"/>
  <c r="X29" i="33"/>
  <c r="X30" i="31"/>
  <c r="V30" i="31"/>
  <c r="U28" i="33" l="1"/>
  <c r="U29" i="31"/>
  <c r="L27" i="1"/>
  <c r="N27" i="1"/>
  <c r="K33" i="1"/>
  <c r="N33" i="1" l="1"/>
  <c r="L33" i="1"/>
  <c r="U32" i="31"/>
  <c r="X29" i="31"/>
  <c r="V29" i="31"/>
  <c r="X28" i="33"/>
  <c r="U31" i="33"/>
  <c r="V28" i="33"/>
  <c r="K58" i="31" l="1"/>
  <c r="L58" i="31" s="1"/>
  <c r="U51" i="31"/>
  <c r="V51" i="31" s="1"/>
  <c r="V32" i="31"/>
  <c r="X32" i="31"/>
  <c r="K28" i="1"/>
  <c r="U49" i="33"/>
  <c r="V49" i="33" s="1"/>
  <c r="X31" i="33"/>
  <c r="V31" i="33"/>
  <c r="U34" i="33"/>
  <c r="U35" i="31"/>
  <c r="L28" i="1" l="1"/>
  <c r="N28" i="1"/>
  <c r="K34" i="1"/>
  <c r="K29" i="1"/>
  <c r="V35" i="31"/>
  <c r="X35" i="31"/>
  <c r="U50" i="31"/>
  <c r="X34" i="33"/>
  <c r="V34" i="33"/>
  <c r="U48" i="33"/>
  <c r="U45" i="33"/>
  <c r="U46" i="31"/>
  <c r="U39" i="33"/>
  <c r="U40" i="33" s="1"/>
  <c r="K38" i="1"/>
  <c r="U40" i="31"/>
  <c r="U41" i="31" s="1"/>
  <c r="V40" i="33" l="1"/>
  <c r="X40" i="33"/>
  <c r="U42" i="33"/>
  <c r="V41" i="31"/>
  <c r="X41" i="31"/>
  <c r="U43" i="31"/>
  <c r="V48" i="33"/>
  <c r="N29" i="1"/>
  <c r="L29" i="1"/>
  <c r="U46" i="33"/>
  <c r="L34" i="1"/>
  <c r="N34" i="1"/>
  <c r="K35" i="1"/>
  <c r="X40" i="31"/>
  <c r="V40" i="31"/>
  <c r="U62" i="31"/>
  <c r="U69" i="31"/>
  <c r="V69" i="31" s="1"/>
  <c r="U53" i="31"/>
  <c r="U47" i="31"/>
  <c r="V39" i="33"/>
  <c r="X39" i="33"/>
  <c r="W50" i="31"/>
  <c r="V50" i="31"/>
  <c r="V53" i="31" l="1"/>
  <c r="V54" i="31" s="1"/>
  <c r="U54" i="31"/>
  <c r="U55" i="31"/>
  <c r="V55" i="31" s="1"/>
  <c r="X42" i="33"/>
  <c r="X43" i="33" s="1"/>
  <c r="U43" i="33"/>
  <c r="V42" i="33"/>
  <c r="V43" i="33" s="1"/>
  <c r="U51" i="33"/>
  <c r="G43" i="33"/>
  <c r="K40" i="1"/>
  <c r="K36" i="1"/>
  <c r="L35" i="1"/>
  <c r="N35" i="1"/>
  <c r="K39" i="1"/>
  <c r="U71" i="31"/>
  <c r="X43" i="31"/>
  <c r="X44" i="31" s="1"/>
  <c r="G44" i="31"/>
  <c r="U44" i="31"/>
  <c r="V43" i="31"/>
  <c r="V44" i="31" s="1"/>
  <c r="V62" i="31"/>
  <c r="V63" i="31" s="1"/>
  <c r="U63" i="31"/>
  <c r="V51" i="33" l="1"/>
  <c r="U52" i="33"/>
  <c r="V52" i="33" s="1"/>
  <c r="V71" i="31"/>
  <c r="U72" i="31"/>
  <c r="V72" i="31" s="1"/>
  <c r="U75" i="31"/>
  <c r="U76" i="31" s="1"/>
  <c r="L36" i="1"/>
  <c r="N36" i="1"/>
  <c r="F8" i="1" l="1"/>
  <c r="K28" i="2"/>
  <c r="G46" i="2" l="1"/>
  <c r="F46" i="2"/>
  <c r="L28" i="2"/>
  <c r="N28" i="2"/>
  <c r="G8" i="1"/>
  <c r="I8" i="1"/>
  <c r="K28" i="31" l="1"/>
  <c r="K8" i="1"/>
  <c r="N8" i="1" l="1"/>
  <c r="L8" i="1"/>
  <c r="L28" i="31"/>
  <c r="K44" i="31"/>
  <c r="N28" i="31"/>
  <c r="M44" i="31"/>
</calcChain>
</file>

<file path=xl/sharedStrings.xml><?xml version="1.0" encoding="utf-8"?>
<sst xmlns="http://schemas.openxmlformats.org/spreadsheetml/2006/main" count="917" uniqueCount="226">
  <si>
    <t>물량</t>
    <phoneticPr fontId="1" type="noConversion"/>
  </si>
  <si>
    <t>골재</t>
    <phoneticPr fontId="1" type="noConversion"/>
  </si>
  <si>
    <t>매출</t>
    <phoneticPr fontId="1" type="noConversion"/>
  </si>
  <si>
    <t>건자재</t>
    <phoneticPr fontId="1" type="noConversion"/>
  </si>
  <si>
    <t>기타</t>
    <phoneticPr fontId="1" type="noConversion"/>
  </si>
  <si>
    <t>매출원가</t>
    <phoneticPr fontId="1" type="noConversion"/>
  </si>
  <si>
    <t>판관비</t>
    <phoneticPr fontId="1" type="noConversion"/>
  </si>
  <si>
    <t>영업이익</t>
    <phoneticPr fontId="1" type="noConversion"/>
  </si>
  <si>
    <t>계</t>
    <phoneticPr fontId="1" type="noConversion"/>
  </si>
  <si>
    <t>%</t>
  </si>
  <si>
    <t>%</t>
    <phoneticPr fontId="1" type="noConversion"/>
  </si>
  <si>
    <t>구분</t>
    <phoneticPr fontId="1" type="noConversion"/>
  </si>
  <si>
    <t>계획</t>
  </si>
  <si>
    <t>실적</t>
  </si>
  <si>
    <t>전년</t>
  </si>
  <si>
    <t>매출이익</t>
    <phoneticPr fontId="1" type="noConversion"/>
  </si>
  <si>
    <t>수도권</t>
  </si>
  <si>
    <t>영남권</t>
  </si>
  <si>
    <t>안양</t>
  </si>
  <si>
    <t>인천</t>
  </si>
  <si>
    <t>파주</t>
  </si>
  <si>
    <t>부산</t>
  </si>
  <si>
    <t>서부산</t>
  </si>
  <si>
    <t>김해</t>
  </si>
  <si>
    <t>정관</t>
  </si>
  <si>
    <t>양산</t>
  </si>
  <si>
    <t>창원</t>
  </si>
  <si>
    <t>아산</t>
  </si>
  <si>
    <t>차이</t>
  </si>
  <si>
    <t>공통비</t>
    <phoneticPr fontId="1" type="noConversion"/>
  </si>
  <si>
    <t>기타 계</t>
  </si>
  <si>
    <t>임대 계</t>
    <phoneticPr fontId="1" type="noConversion"/>
  </si>
  <si>
    <t>합계</t>
    <phoneticPr fontId="1" type="noConversion"/>
  </si>
  <si>
    <t>골재 계</t>
    <phoneticPr fontId="1" type="noConversion"/>
  </si>
  <si>
    <t>변동비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</si>
  <si>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</si>
  <si>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</si>
  <si>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</si>
  <si>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차이</t>
    <phoneticPr fontId="1" type="noConversion"/>
  </si>
  <si>
    <t>전년</t>
    <phoneticPr fontId="1" type="noConversion"/>
  </si>
  <si>
    <t>레미콘</t>
    <phoneticPr fontId="1" type="noConversion"/>
  </si>
  <si>
    <t>직영</t>
    <phoneticPr fontId="1" type="noConversion"/>
  </si>
  <si>
    <t>수도권</t>
    <phoneticPr fontId="1" type="noConversion"/>
  </si>
  <si>
    <t>영남권</t>
    <phoneticPr fontId="1" type="noConversion"/>
  </si>
  <si>
    <t>임대</t>
    <phoneticPr fontId="1" type="noConversion"/>
  </si>
  <si>
    <t>골재</t>
    <phoneticPr fontId="1" type="noConversion"/>
  </si>
  <si>
    <t>부산골재</t>
    <phoneticPr fontId="1" type="noConversion"/>
  </si>
  <si>
    <t>서부산골재</t>
    <phoneticPr fontId="1" type="noConversion"/>
  </si>
  <si>
    <t>건자재</t>
    <phoneticPr fontId="1" type="noConversion"/>
  </si>
  <si>
    <t>기타</t>
    <phoneticPr fontId="1" type="noConversion"/>
  </si>
  <si>
    <t>공통비</t>
    <phoneticPr fontId="1" type="noConversion"/>
  </si>
  <si>
    <t>물량</t>
    <phoneticPr fontId="1" type="noConversion"/>
  </si>
  <si>
    <t>매출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</si>
  <si>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</si>
  <si>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</si>
  <si>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</si>
  <si>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계획대비</t>
    <phoneticPr fontId="1" type="noConversion"/>
  </si>
  <si>
    <t>전년대비</t>
    <phoneticPr fontId="1" type="noConversion"/>
  </si>
  <si>
    <t>계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</si>
  <si>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</si>
  <si>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</si>
  <si>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</si>
  <si>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</si>
  <si>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</si>
  <si>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계획대비</t>
    <phoneticPr fontId="1" type="noConversion"/>
  </si>
  <si>
    <t>전년</t>
    <phoneticPr fontId="1" type="noConversion"/>
  </si>
  <si>
    <t>전년대비</t>
    <phoneticPr fontId="1" type="noConversion"/>
  </si>
  <si>
    <t>실적</t>
    <phoneticPr fontId="1" type="noConversion"/>
  </si>
  <si>
    <t>건자재</t>
    <phoneticPr fontId="1" type="noConversion"/>
  </si>
  <si>
    <t>철강재</t>
    <phoneticPr fontId="1" type="noConversion"/>
  </si>
  <si>
    <t>대구</t>
    <phoneticPr fontId="1" type="noConversion"/>
  </si>
  <si>
    <t>울산</t>
    <phoneticPr fontId="1" type="noConversion"/>
  </si>
  <si>
    <t>전주</t>
    <phoneticPr fontId="1" type="noConversion"/>
  </si>
  <si>
    <t>군산</t>
    <phoneticPr fontId="1" type="noConversion"/>
  </si>
  <si>
    <t>원주</t>
    <phoneticPr fontId="1" type="noConversion"/>
  </si>
  <si>
    <t>제주</t>
    <phoneticPr fontId="1" type="noConversion"/>
  </si>
  <si>
    <t>아산</t>
    <phoneticPr fontId="1" type="noConversion"/>
  </si>
  <si>
    <t>[단위 : 천㎥, 톤, 백만원]</t>
  </si>
  <si>
    <t>대구</t>
    <phoneticPr fontId="1" type="noConversion"/>
  </si>
  <si>
    <t>울산</t>
    <phoneticPr fontId="1" type="noConversion"/>
  </si>
  <si>
    <t>레미콘임대</t>
    <phoneticPr fontId="1" type="noConversion"/>
  </si>
  <si>
    <t>레미콘임대 계</t>
    <phoneticPr fontId="1" type="noConversion"/>
  </si>
  <si>
    <t>확인</t>
    <phoneticPr fontId="1" type="noConversion"/>
  </si>
  <si>
    <t xml:space="preserve"> </t>
    <phoneticPr fontId="1" type="noConversion"/>
  </si>
  <si>
    <t>□ 레미콘</t>
    <phoneticPr fontId="1" type="noConversion"/>
  </si>
  <si>
    <t>□ 건자재</t>
    <phoneticPr fontId="1" type="noConversion"/>
  </si>
  <si>
    <t>철강재 판매단가</t>
    <phoneticPr fontId="1" type="noConversion"/>
  </si>
  <si>
    <t>철강재 마진률</t>
    <phoneticPr fontId="1" type="noConversion"/>
  </si>
  <si>
    <t>□ 골재</t>
    <phoneticPr fontId="1" type="noConversion"/>
  </si>
  <si>
    <t>판매량</t>
    <phoneticPr fontId="1" type="noConversion"/>
  </si>
  <si>
    <t>자가</t>
    <phoneticPr fontId="1" type="noConversion"/>
  </si>
  <si>
    <t>외판</t>
    <phoneticPr fontId="1" type="noConversion"/>
  </si>
  <si>
    <t>계획대비</t>
  </si>
  <si>
    <t>전년대비</t>
  </si>
  <si>
    <t>레미콘 계</t>
    <phoneticPr fontId="1" type="noConversion"/>
  </si>
  <si>
    <t>OPC 소급분</t>
    <phoneticPr fontId="1" type="noConversion"/>
  </si>
  <si>
    <t>대손</t>
    <phoneticPr fontId="1" type="noConversion"/>
  </si>
  <si>
    <t>기타 계</t>
    <phoneticPr fontId="1" type="noConversion"/>
  </si>
  <si>
    <t>영업이익(공통비 배부전)</t>
    <phoneticPr fontId="1" type="noConversion"/>
  </si>
  <si>
    <t>건재사업본부</t>
    <phoneticPr fontId="1" type="noConversion"/>
  </si>
  <si>
    <t>합 계</t>
    <phoneticPr fontId="1" type="noConversion"/>
  </si>
  <si>
    <t>[단위 : 천㎥, 톤, 원/㎥, 원/톤, 백만원]</t>
    <phoneticPr fontId="1" type="noConversion"/>
  </si>
  <si>
    <t>합계</t>
    <phoneticPr fontId="1" type="noConversion"/>
  </si>
  <si>
    <t>기타</t>
    <phoneticPr fontId="1" type="noConversion"/>
  </si>
  <si>
    <t>레미콘임대</t>
    <phoneticPr fontId="1" type="noConversion"/>
  </si>
  <si>
    <t>중부권</t>
  </si>
  <si>
    <t>중부권</t>
    <phoneticPr fontId="1" type="noConversion"/>
  </si>
  <si>
    <t>중부권</t>
    <phoneticPr fontId="1" type="noConversion"/>
  </si>
  <si>
    <t>김포</t>
    <phoneticPr fontId="1" type="noConversion"/>
  </si>
  <si>
    <t xml:space="preserve"> ■ 비고</t>
  </si>
  <si>
    <t>김포</t>
  </si>
  <si>
    <t>부산크라샤</t>
    <phoneticPr fontId="1" type="noConversion"/>
  </si>
  <si>
    <t>미운영 공장</t>
    <phoneticPr fontId="1" type="noConversion"/>
  </si>
  <si>
    <t>□ 기타내역(영업이익)</t>
    <phoneticPr fontId="1" type="noConversion"/>
  </si>
  <si>
    <t>건자재</t>
    <phoneticPr fontId="1" type="noConversion"/>
  </si>
  <si>
    <t>부산모래장</t>
    <phoneticPr fontId="1" type="noConversion"/>
  </si>
  <si>
    <t>서부산크라샤</t>
    <phoneticPr fontId="1" type="noConversion"/>
  </si>
  <si>
    <t>강릉임대</t>
    <phoneticPr fontId="1" type="noConversion"/>
  </si>
  <si>
    <t>속초임대</t>
    <phoneticPr fontId="1" type="noConversion"/>
  </si>
  <si>
    <t>포항임대</t>
    <phoneticPr fontId="1" type="noConversion"/>
  </si>
  <si>
    <t>부동산임대</t>
  </si>
  <si>
    <t>주유소임대</t>
  </si>
  <si>
    <t>공    통    비</t>
  </si>
  <si>
    <t>건자재영업</t>
    <phoneticPr fontId="1" type="noConversion"/>
  </si>
  <si>
    <t>서부산CR</t>
    <phoneticPr fontId="1" type="noConversion"/>
  </si>
  <si>
    <t>부산CR</t>
    <phoneticPr fontId="1" type="noConversion"/>
  </si>
  <si>
    <t>제주</t>
  </si>
  <si>
    <t>원주</t>
  </si>
  <si>
    <t>군산</t>
  </si>
  <si>
    <t>전주</t>
  </si>
  <si>
    <t>울산</t>
  </si>
  <si>
    <t>대구</t>
  </si>
  <si>
    <t>기타권</t>
    <phoneticPr fontId="1" type="noConversion"/>
  </si>
  <si>
    <t>손익</t>
    <phoneticPr fontId="1" type="noConversion"/>
  </si>
  <si>
    <t>판관비 등 차이</t>
    <phoneticPr fontId="1" type="noConversion"/>
  </si>
  <si>
    <t>제조원가 차이</t>
    <phoneticPr fontId="1" type="noConversion"/>
  </si>
  <si>
    <t>판매단가 차이</t>
    <phoneticPr fontId="1" type="noConversion"/>
  </si>
  <si>
    <t>물량 차이</t>
    <phoneticPr fontId="1" type="noConversion"/>
  </si>
  <si>
    <t>영업이익(공통비 미배부)</t>
    <phoneticPr fontId="1" type="noConversion"/>
  </si>
  <si>
    <t>2024년 12월 마감 손익</t>
  </si>
  <si>
    <t>[단위 : 백만원, 천㎥]</t>
    <phoneticPr fontId="1" type="noConversion"/>
  </si>
  <si>
    <t>평균</t>
    <phoneticPr fontId="1" type="noConversion"/>
  </si>
  <si>
    <t>변동비 계</t>
    <phoneticPr fontId="1" type="noConversion"/>
  </si>
  <si>
    <t>유류비</t>
    <phoneticPr fontId="1" type="noConversion"/>
  </si>
  <si>
    <t>운반비</t>
    <phoneticPr fontId="1" type="noConversion"/>
  </si>
  <si>
    <t>재료비</t>
    <phoneticPr fontId="1" type="noConversion"/>
  </si>
  <si>
    <t>[단위 : 원/㎥]</t>
    <phoneticPr fontId="1" type="noConversion"/>
  </si>
  <si>
    <t>모래 (원/톤)</t>
  </si>
  <si>
    <t>자갈 (원/톤)</t>
  </si>
  <si>
    <t>FA (원/톤)</t>
  </si>
  <si>
    <t>SP (원/톤)</t>
  </si>
  <si>
    <t>SC (원/톤)</t>
    <phoneticPr fontId="1" type="noConversion"/>
  </si>
  <si>
    <t>OPC (원/톤)</t>
    <phoneticPr fontId="1" type="noConversion"/>
  </si>
  <si>
    <t>혼화제</t>
    <phoneticPr fontId="1" type="noConversion"/>
  </si>
  <si>
    <t>모래</t>
    <phoneticPr fontId="1" type="noConversion"/>
  </si>
  <si>
    <t>자갈</t>
    <phoneticPr fontId="1" type="noConversion"/>
  </si>
  <si>
    <t>분체류 치환률</t>
    <phoneticPr fontId="1" type="noConversion"/>
  </si>
  <si>
    <t>분체류</t>
    <phoneticPr fontId="1" type="noConversion"/>
  </si>
  <si>
    <t>OPC</t>
    <phoneticPr fontId="1" type="noConversion"/>
  </si>
  <si>
    <t>[단위 : kg/㎥]</t>
    <phoneticPr fontId="1" type="noConversion"/>
  </si>
  <si>
    <t>6월</t>
  </si>
  <si>
    <t xml:space="preserve">   · 집합대손 2.2억 // 개별대손 3억(삼정이앤시) → 안양 2.9억, 양산 0.1억</t>
    <phoneticPr fontId="1" type="noConversion"/>
  </si>
  <si>
    <t>퇴직위로금</t>
  </si>
  <si>
    <t>퇴직위로금</t>
    <phoneticPr fontId="1" type="noConversion"/>
  </si>
  <si>
    <t xml:space="preserve"> - 1군 판매단가 인하</t>
    <phoneticPr fontId="1" type="noConversion"/>
  </si>
  <si>
    <t xml:space="preserve">   · 부산권 4천원, 창원 3.5천원 / 제주 협상完 500원/㎥ 인상</t>
    <phoneticPr fontId="1" type="noConversion"/>
  </si>
  <si>
    <t>[단위 : 톤, 천원]</t>
    <phoneticPr fontId="1" type="noConversion"/>
  </si>
  <si>
    <t>5월</t>
  </si>
  <si>
    <t>철강재</t>
  </si>
  <si>
    <t>매출액</t>
    <phoneticPr fontId="1" type="noConversion"/>
  </si>
  <si>
    <t>기타</t>
  </si>
  <si>
    <t>(소계)</t>
    <phoneticPr fontId="1" type="noConversion"/>
  </si>
  <si>
    <t>(소계)</t>
  </si>
  <si>
    <t>판관비</t>
  </si>
  <si>
    <t>노무비</t>
  </si>
  <si>
    <t>경비</t>
  </si>
  <si>
    <t>* 공통비</t>
    <phoneticPr fontId="1" type="noConversion"/>
  </si>
  <si>
    <t>1월</t>
    <phoneticPr fontId="1" type="noConversion"/>
  </si>
  <si>
    <t>2월</t>
  </si>
  <si>
    <t>3월</t>
    <phoneticPr fontId="1" type="noConversion"/>
  </si>
  <si>
    <t>4월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</si>
  <si>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</si>
  <si>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</si>
  <si>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</si>
  <si>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</si>
  <si>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</si>
  <si>
    <t>1월</t>
  </si>
  <si>
    <t>2월</t>
    <phoneticPr fontId="1" type="noConversion"/>
  </si>
  <si>
    <t>3월</t>
  </si>
  <si>
    <t>4월</t>
  </si>
  <si>
    <t>8월</t>
  </si>
  <si>
    <t>11월</t>
    <phoneticPr fontId="1" type="noConversion"/>
  </si>
  <si>
    <t>12월</t>
    <phoneticPr fontId="1" type="noConversion"/>
  </si>
  <si>
    <t>5월</t>
    <phoneticPr fontId="1" type="noConversion"/>
  </si>
  <si>
    <t>구분</t>
  </si>
  <si>
    <t>판매단가</t>
  </si>
  <si>
    <t>마진률</t>
  </si>
  <si>
    <t>6월</t>
    <phoneticPr fontId="1" type="noConversion"/>
  </si>
  <si>
    <t xml:space="preserve">  · 천안 아산지역 2,600원/㎥↓, 창원 2,900원/㎥↓(4/1), 울산 ,1900원/㎥↓(7/1)</t>
    <phoneticPr fontId="1" type="noConversion"/>
  </si>
  <si>
    <t xml:space="preserve">     원주 2천원/회(1년), 군산 2개년 합의, 7/15 (25년 2.5천원. 26년 3.5천원)</t>
    <phoneticPr fontId="1" type="noConversion"/>
  </si>
  <si>
    <t xml:space="preserve">     인천, 김포3,300원/회 ↑, 군산 25년 2.5천원. 26년 3.5천원</t>
    <phoneticPr fontId="1" type="noConversion"/>
  </si>
  <si>
    <t xml:space="preserve"> - 운반비 협상</t>
    <phoneticPr fontId="1" type="noConversion"/>
  </si>
  <si>
    <t>철강재 단가</t>
    <phoneticPr fontId="1" type="noConversion"/>
  </si>
  <si>
    <t>영업이익(공통비 배부후)</t>
    <phoneticPr fontId="1" type="noConversion"/>
  </si>
  <si>
    <t>9월</t>
    <phoneticPr fontId="1" type="noConversion"/>
  </si>
  <si>
    <t>2025년 10월 마감 손익</t>
    <phoneticPr fontId="1" type="noConversion"/>
  </si>
  <si>
    <t>□ 건재사업본부 손익실적(2025-10)</t>
  </si>
  <si>
    <t>10월</t>
  </si>
  <si>
    <t>10월 누계</t>
  </si>
  <si>
    <t>10월 주요지표</t>
  </si>
  <si>
    <t>□ 레미콘 영업이익(10월)</t>
  </si>
  <si>
    <t>10월누계</t>
  </si>
  <si>
    <t>2024년 10월 마감 손익</t>
  </si>
  <si>
    <t>2024년 10월누계 마감 손익</t>
  </si>
  <si>
    <t xml:space="preserve">  - OPC 소급분 : 삼표 2.5억(총 9.9억 中 1회차) → 8~10월누계 총 4회 소급예정</t>
  </si>
  <si>
    <t>□ 사업장별 손익실적(2025-10누계)</t>
  </si>
  <si>
    <t>□ 사업장별 손익실적(2025-10)</t>
  </si>
  <si>
    <t>□ 레미콘 원재료 원단위(2025-10)</t>
  </si>
  <si>
    <t>□ 레미콘 원재료단가(2025-10)</t>
  </si>
  <si>
    <t>□ 레미콘 단위당 공헌이익(2025-10)</t>
  </si>
  <si>
    <t>□ 레미콘 영업이익 차이분석(2025-10)</t>
  </si>
  <si>
    <t>□ 사업장별 손익실적(2025-10누계)_건자재 제외</t>
  </si>
  <si>
    <t>□ 사업장별 손익실적(2025-10)_건자재 제외</t>
  </si>
  <si>
    <t>□ 건자재 손익실적(2025-10)</t>
  </si>
  <si>
    <t xml:space="preserve"> - 판매단가 소급 2.2억(단위당 1,023원/㎥)</t>
    <phoneticPr fontId="1" type="noConversion"/>
  </si>
  <si>
    <t xml:space="preserve"> - 1군 판가 소급분(마이너스 계산서) : 13.9억(602원/㎥)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</si>
</sst>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76" formatCode="#,##0_ "/>
    <numFmt numFmtId="177" formatCode="0.0%"/>
    <numFmt numFmtId="178" formatCode="#,##0_);[Red]\(#,##0\)"/>
    <numFmt numFmtId="179" formatCode="#,##0.0_);[Red]\(#,##0.0\)"/>
    <numFmt numFmtId="180" formatCode="0_ "/>
    <numFmt numFmtId="181" formatCode="_-* #,##0.0_-;\-* #,##0.0_-;_-* &quot;-&quot;_-;_-@_-"/>
    <numFmt numFmtId="182" formatCode="#,##0.000_);[Red]\(#,##0.000\)"/>
    <numFmt numFmtId="183" formatCode="#,##0.0"/>
    <numFmt numFmtId="184" formatCode="0.0"/>
    <numFmt numFmtId="185" formatCode="#,##0.000000_ "/>
    <numFmt numFmtId="186" formatCode="0_);[Red]\(0\)"/>
    <numFmt numFmtId="187" formatCode="#,##0.00_);[Red]\(#,##0.00\)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theme="1" tint="0.499984740745262"/>
        <bgColor indexed="64"/>
      </patternFill>
    </fill>
  </fills>
  <borders count="1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thick">
        <color auto="1"/>
      </left>
      <right/>
      <top style="hair">
        <color auto="1"/>
      </top>
      <bottom/>
      <diagonal/>
    </border>
    <border>
      <left/>
      <right style="thick">
        <color auto="1"/>
      </right>
      <top style="hair">
        <color auto="1"/>
      </top>
      <bottom/>
      <diagonal/>
    </border>
    <border>
      <left style="thick">
        <color auto="1"/>
      </left>
      <right/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0" fontId="11" fillId="0" borderId="0"/>
  </cellStyleXfs>
  <cellXfs count="626">
    <xf numFmtId="0" fontId="0" fillId="0" borderId="0" xfId="0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178" fontId="6" fillId="0" borderId="24" xfId="1" applyNumberFormat="1" applyFont="1" applyFill="1" applyBorder="1" applyAlignment="1">
      <alignment vertical="center"/>
    </xf>
    <xf numFmtId="178" fontId="6" fillId="2" borderId="25" xfId="1" applyNumberFormat="1" applyFont="1" applyFill="1" applyBorder="1" applyAlignment="1">
      <alignment vertical="center"/>
    </xf>
    <xf numFmtId="178" fontId="6" fillId="0" borderId="49" xfId="1" applyNumberFormat="1" applyFont="1" applyFill="1" applyBorder="1">
      <alignment vertical="center"/>
    </xf>
    <xf numFmtId="178" fontId="6" fillId="0" borderId="25" xfId="1" applyNumberFormat="1" applyFont="1" applyFill="1" applyBorder="1">
      <alignment vertical="center"/>
    </xf>
    <xf numFmtId="178" fontId="6" fillId="0" borderId="26" xfId="1" applyNumberFormat="1" applyFont="1" applyFill="1" applyBorder="1">
      <alignment vertical="center"/>
    </xf>
    <xf numFmtId="178" fontId="6" fillId="0" borderId="51" xfId="1" applyNumberFormat="1" applyFont="1" applyFill="1" applyBorder="1" applyAlignment="1">
      <alignment vertical="center"/>
    </xf>
    <xf numFmtId="178" fontId="6" fillId="0" borderId="49" xfId="1" applyNumberFormat="1" applyFont="1" applyFill="1" applyBorder="1" applyAlignment="1">
      <alignment vertical="center"/>
    </xf>
    <xf numFmtId="178" fontId="6" fillId="0" borderId="26" xfId="1" applyNumberFormat="1" applyFont="1" applyFill="1" applyBorder="1" applyAlignment="1">
      <alignment vertical="center"/>
    </xf>
    <xf numFmtId="178" fontId="6" fillId="0" borderId="0" xfId="1" applyNumberFormat="1" applyFont="1">
      <alignment vertical="center"/>
    </xf>
    <xf numFmtId="41" fontId="6" fillId="0" borderId="0" xfId="1" applyFont="1">
      <alignment vertical="center"/>
    </xf>
    <xf numFmtId="178" fontId="6" fillId="2" borderId="43" xfId="1" applyNumberFormat="1" applyFont="1" applyFill="1" applyBorder="1" applyAlignment="1">
      <alignment vertical="center"/>
    </xf>
    <xf numFmtId="178" fontId="6" fillId="0" borderId="42" xfId="1" applyNumberFormat="1" applyFont="1" applyFill="1" applyBorder="1">
      <alignment vertical="center"/>
    </xf>
    <xf numFmtId="178" fontId="6" fillId="0" borderId="44" xfId="1" applyNumberFormat="1" applyFont="1" applyFill="1" applyBorder="1">
      <alignment vertical="center"/>
    </xf>
    <xf numFmtId="178" fontId="6" fillId="0" borderId="41" xfId="1" applyNumberFormat="1" applyFont="1" applyFill="1" applyBorder="1" applyAlignment="1">
      <alignment vertical="center"/>
    </xf>
    <xf numFmtId="178" fontId="6" fillId="0" borderId="52" xfId="1" applyNumberFormat="1" applyFont="1" applyFill="1" applyBorder="1" applyAlignment="1">
      <alignment vertical="center"/>
    </xf>
    <xf numFmtId="178" fontId="6" fillId="0" borderId="43" xfId="1" applyNumberFormat="1" applyFont="1" applyFill="1" applyBorder="1">
      <alignment vertical="center"/>
    </xf>
    <xf numFmtId="178" fontId="2" fillId="0" borderId="0" xfId="0" applyNumberFormat="1" applyFont="1">
      <alignment vertical="center"/>
    </xf>
    <xf numFmtId="178" fontId="2" fillId="0" borderId="0" xfId="1" applyNumberFormat="1" applyFont="1">
      <alignment vertical="center"/>
    </xf>
    <xf numFmtId="41" fontId="2" fillId="0" borderId="0" xfId="1" applyFont="1">
      <alignment vertical="center"/>
    </xf>
    <xf numFmtId="178" fontId="6" fillId="0" borderId="42" xfId="1" applyNumberFormat="1" applyFont="1" applyFill="1" applyBorder="1" applyAlignment="1">
      <alignment vertical="center"/>
    </xf>
    <xf numFmtId="178" fontId="6" fillId="0" borderId="44" xfId="1" applyNumberFormat="1" applyFont="1" applyFill="1" applyBorder="1" applyAlignment="1">
      <alignment vertical="center"/>
    </xf>
    <xf numFmtId="178" fontId="6" fillId="0" borderId="0" xfId="0" applyNumberFormat="1" applyFont="1">
      <alignment vertical="center"/>
    </xf>
    <xf numFmtId="178" fontId="6" fillId="0" borderId="0" xfId="0" applyNumberFormat="1" applyFont="1" applyFill="1">
      <alignment vertical="center"/>
    </xf>
    <xf numFmtId="178" fontId="6" fillId="0" borderId="0" xfId="0" applyNumberFormat="1" applyFont="1" applyFill="1" applyAlignment="1">
      <alignment vertical="center"/>
    </xf>
    <xf numFmtId="178" fontId="0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178" fontId="6" fillId="0" borderId="28" xfId="1" applyNumberFormat="1" applyFont="1" applyFill="1" applyBorder="1" applyAlignment="1">
      <alignment vertical="center"/>
    </xf>
    <xf numFmtId="178" fontId="6" fillId="2" borderId="29" xfId="1" applyNumberFormat="1" applyFont="1" applyFill="1" applyBorder="1" applyAlignment="1">
      <alignment vertical="center"/>
    </xf>
    <xf numFmtId="178" fontId="6" fillId="0" borderId="39" xfId="1" applyNumberFormat="1" applyFont="1" applyFill="1" applyBorder="1">
      <alignment vertical="center"/>
    </xf>
    <xf numFmtId="178" fontId="6" fillId="0" borderId="29" xfId="1" applyNumberFormat="1" applyFont="1" applyFill="1" applyBorder="1">
      <alignment vertical="center"/>
    </xf>
    <xf numFmtId="178" fontId="6" fillId="0" borderId="30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178" fontId="6" fillId="0" borderId="29" xfId="1" applyNumberFormat="1" applyFont="1" applyFill="1" applyBorder="1" applyAlignment="1">
      <alignment horizontal="right" vertical="center"/>
    </xf>
    <xf numFmtId="178" fontId="6" fillId="0" borderId="3" xfId="1" applyNumberFormat="1" applyFont="1" applyFill="1" applyBorder="1" applyAlignment="1">
      <alignment vertical="center"/>
    </xf>
    <xf numFmtId="178" fontId="6" fillId="0" borderId="39" xfId="1" applyNumberFormat="1" applyFont="1" applyFill="1" applyBorder="1" applyAlignment="1">
      <alignment vertical="center"/>
    </xf>
    <xf numFmtId="178" fontId="6" fillId="0" borderId="30" xfId="1" applyNumberFormat="1" applyFont="1" applyFill="1" applyBorder="1" applyAlignment="1">
      <alignment vertical="center"/>
    </xf>
    <xf numFmtId="178" fontId="6" fillId="0" borderId="12" xfId="1" applyNumberFormat="1" applyFont="1" applyFill="1" applyBorder="1" applyAlignment="1">
      <alignment vertical="center"/>
    </xf>
    <xf numFmtId="178" fontId="6" fillId="2" borderId="13" xfId="1" applyNumberFormat="1" applyFont="1" applyFill="1" applyBorder="1" applyAlignment="1">
      <alignment vertical="center"/>
    </xf>
    <xf numFmtId="178" fontId="6" fillId="0" borderId="46" xfId="1" applyNumberFormat="1" applyFont="1" applyFill="1" applyBorder="1">
      <alignment vertical="center"/>
    </xf>
    <xf numFmtId="178" fontId="6" fillId="0" borderId="13" xfId="1" applyNumberFormat="1" applyFont="1" applyFill="1" applyBorder="1">
      <alignment vertical="center"/>
    </xf>
    <xf numFmtId="178" fontId="6" fillId="0" borderId="14" xfId="1" applyNumberFormat="1" applyFont="1" applyFill="1" applyBorder="1">
      <alignment vertical="center"/>
    </xf>
    <xf numFmtId="178" fontId="6" fillId="0" borderId="5" xfId="1" applyNumberFormat="1" applyFont="1" applyFill="1" applyBorder="1" applyAlignment="1">
      <alignment vertical="center"/>
    </xf>
    <xf numFmtId="178" fontId="6" fillId="0" borderId="46" xfId="1" applyNumberFormat="1" applyFont="1" applyFill="1" applyBorder="1" applyAlignment="1">
      <alignment vertical="center"/>
    </xf>
    <xf numFmtId="178" fontId="6" fillId="0" borderId="14" xfId="1" applyNumberFormat="1" applyFont="1" applyFill="1" applyBorder="1" applyAlignment="1">
      <alignment vertical="center"/>
    </xf>
    <xf numFmtId="178" fontId="6" fillId="0" borderId="12" xfId="0" applyNumberFormat="1" applyFont="1" applyFill="1" applyBorder="1" applyAlignment="1">
      <alignment vertical="center"/>
    </xf>
    <xf numFmtId="178" fontId="6" fillId="0" borderId="13" xfId="0" applyNumberFormat="1" applyFont="1" applyFill="1" applyBorder="1">
      <alignment vertical="center"/>
    </xf>
    <xf numFmtId="178" fontId="6" fillId="0" borderId="28" xfId="0" applyNumberFormat="1" applyFont="1" applyFill="1" applyBorder="1" applyAlignment="1">
      <alignment vertical="center"/>
    </xf>
    <xf numFmtId="178" fontId="6" fillId="2" borderId="39" xfId="0" applyNumberFormat="1" applyFont="1" applyFill="1" applyBorder="1" applyAlignment="1">
      <alignment vertical="center"/>
    </xf>
    <xf numFmtId="178" fontId="6" fillId="0" borderId="3" xfId="1" applyNumberFormat="1" applyFont="1" applyFill="1" applyBorder="1">
      <alignment vertical="center"/>
    </xf>
    <xf numFmtId="178" fontId="6" fillId="2" borderId="46" xfId="0" applyNumberFormat="1" applyFont="1" applyFill="1" applyBorder="1" applyAlignment="1">
      <alignment vertical="center"/>
    </xf>
    <xf numFmtId="178" fontId="6" fillId="0" borderId="5" xfId="1" applyNumberFormat="1" applyFont="1" applyFill="1" applyBorder="1">
      <alignment vertical="center"/>
    </xf>
    <xf numFmtId="178" fontId="6" fillId="0" borderId="46" xfId="0" applyNumberFormat="1" applyFont="1" applyFill="1" applyBorder="1">
      <alignment vertical="center"/>
    </xf>
    <xf numFmtId="178" fontId="6" fillId="0" borderId="5" xfId="0" applyNumberFormat="1" applyFont="1" applyFill="1" applyBorder="1">
      <alignment vertical="center"/>
    </xf>
    <xf numFmtId="178" fontId="6" fillId="0" borderId="19" xfId="1" applyNumberFormat="1" applyFont="1" applyFill="1" applyBorder="1" applyAlignment="1">
      <alignment vertical="center"/>
    </xf>
    <xf numFmtId="178" fontId="6" fillId="2" borderId="20" xfId="1" applyNumberFormat="1" applyFont="1" applyFill="1" applyBorder="1" applyAlignment="1">
      <alignment vertical="center"/>
    </xf>
    <xf numFmtId="178" fontId="6" fillId="0" borderId="53" xfId="1" applyNumberFormat="1" applyFont="1" applyFill="1" applyBorder="1">
      <alignment vertical="center"/>
    </xf>
    <xf numFmtId="178" fontId="6" fillId="0" borderId="20" xfId="1" applyNumberFormat="1" applyFont="1" applyFill="1" applyBorder="1">
      <alignment vertical="center"/>
    </xf>
    <xf numFmtId="178" fontId="6" fillId="0" borderId="21" xfId="1" applyNumberFormat="1" applyFont="1" applyFill="1" applyBorder="1">
      <alignment vertical="center"/>
    </xf>
    <xf numFmtId="178" fontId="6" fillId="0" borderId="54" xfId="1" applyNumberFormat="1" applyFont="1" applyFill="1" applyBorder="1" applyAlignment="1">
      <alignment vertical="center"/>
    </xf>
    <xf numFmtId="178" fontId="6" fillId="0" borderId="53" xfId="1" applyNumberFormat="1" applyFont="1" applyFill="1" applyBorder="1" applyAlignment="1">
      <alignment vertical="center"/>
    </xf>
    <xf numFmtId="178" fontId="6" fillId="0" borderId="21" xfId="1" applyNumberFormat="1" applyFont="1" applyFill="1" applyBorder="1" applyAlignment="1">
      <alignment vertical="center"/>
    </xf>
    <xf numFmtId="178" fontId="0" fillId="0" borderId="10" xfId="0" applyNumberFormat="1" applyBorder="1">
      <alignment vertical="center"/>
    </xf>
    <xf numFmtId="178" fontId="0" fillId="0" borderId="0" xfId="0" applyNumberFormat="1" applyBorder="1">
      <alignment vertical="center"/>
    </xf>
    <xf numFmtId="14" fontId="2" fillId="0" borderId="28" xfId="0" applyNumberFormat="1" applyFont="1" applyBorder="1" applyAlignment="1">
      <alignment horizontal="center" vertical="center"/>
    </xf>
    <xf numFmtId="14" fontId="2" fillId="0" borderId="30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8" fontId="0" fillId="0" borderId="0" xfId="0" applyNumberFormat="1" applyFont="1">
      <alignment vertical="center"/>
    </xf>
    <xf numFmtId="176" fontId="0" fillId="0" borderId="0" xfId="0" applyNumberFormat="1">
      <alignment vertical="center"/>
    </xf>
    <xf numFmtId="41" fontId="0" fillId="0" borderId="0" xfId="1" applyFont="1">
      <alignment vertical="center"/>
    </xf>
    <xf numFmtId="0" fontId="13" fillId="0" borderId="0" xfId="0" applyFont="1">
      <alignment vertical="center"/>
    </xf>
    <xf numFmtId="0" fontId="7" fillId="0" borderId="4" xfId="0" applyFont="1" applyBorder="1" applyAlignment="1">
      <alignment horizontal="centerContinuous" vertical="center"/>
    </xf>
    <xf numFmtId="0" fontId="7" fillId="0" borderId="27" xfId="0" applyFont="1" applyBorder="1" applyAlignment="1">
      <alignment horizontal="centerContinuous" vertical="center"/>
    </xf>
    <xf numFmtId="0" fontId="13" fillId="0" borderId="4" xfId="0" applyFont="1" applyBorder="1">
      <alignment vertical="center"/>
    </xf>
    <xf numFmtId="0" fontId="7" fillId="0" borderId="0" xfId="0" applyFont="1" applyBorder="1">
      <alignment vertical="center"/>
    </xf>
    <xf numFmtId="0" fontId="13" fillId="0" borderId="5" xfId="0" applyFont="1" applyBorder="1">
      <alignment vertical="center"/>
    </xf>
    <xf numFmtId="0" fontId="7" fillId="0" borderId="31" xfId="0" applyFont="1" applyBorder="1" applyAlignment="1">
      <alignment horizontal="centerContinuous"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>
      <alignment vertical="center"/>
    </xf>
    <xf numFmtId="0" fontId="7" fillId="0" borderId="18" xfId="0" applyFont="1" applyBorder="1" applyAlignment="1">
      <alignment horizontal="centerContinuous" vertical="center"/>
    </xf>
    <xf numFmtId="0" fontId="7" fillId="0" borderId="32" xfId="0" applyFont="1" applyBorder="1" applyAlignment="1">
      <alignment horizontal="centerContinuous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>
      <alignment vertical="center"/>
    </xf>
    <xf numFmtId="176" fontId="7" fillId="0" borderId="25" xfId="0" applyNumberFormat="1" applyFont="1" applyBorder="1">
      <alignment vertical="center"/>
    </xf>
    <xf numFmtId="176" fontId="7" fillId="0" borderId="6" xfId="0" applyNumberFormat="1" applyFont="1" applyBorder="1" applyAlignment="1">
      <alignment horizontal="centerContinuous" vertical="center"/>
    </xf>
    <xf numFmtId="176" fontId="7" fillId="0" borderId="16" xfId="0" applyNumberFormat="1" applyFont="1" applyBorder="1">
      <alignment vertical="center"/>
    </xf>
    <xf numFmtId="0" fontId="7" fillId="0" borderId="33" xfId="0" applyFont="1" applyBorder="1" applyAlignment="1">
      <alignment horizontal="centerContinuous" vertical="center"/>
    </xf>
    <xf numFmtId="0" fontId="7" fillId="0" borderId="22" xfId="0" applyFont="1" applyBorder="1" applyAlignment="1">
      <alignment horizontal="centerContinuous" vertical="center"/>
    </xf>
    <xf numFmtId="0" fontId="7" fillId="0" borderId="23" xfId="0" applyFont="1" applyBorder="1" applyAlignment="1">
      <alignment horizontal="centerContinuous" vertical="center"/>
    </xf>
    <xf numFmtId="176" fontId="7" fillId="3" borderId="29" xfId="0" applyNumberFormat="1" applyFont="1" applyFill="1" applyBorder="1">
      <alignment vertical="center"/>
    </xf>
    <xf numFmtId="176" fontId="7" fillId="3" borderId="13" xfId="0" applyNumberFormat="1" applyFont="1" applyFill="1" applyBorder="1">
      <alignment vertical="center"/>
    </xf>
    <xf numFmtId="0" fontId="7" fillId="0" borderId="0" xfId="0" applyFont="1" applyBorder="1" applyAlignment="1">
      <alignment horizontal="centerContinuous" vertical="center"/>
    </xf>
    <xf numFmtId="176" fontId="7" fillId="3" borderId="25" xfId="0" applyNumberFormat="1" applyFont="1" applyFill="1" applyBorder="1">
      <alignment vertical="center"/>
    </xf>
    <xf numFmtId="176" fontId="7" fillId="3" borderId="16" xfId="0" applyNumberFormat="1" applyFont="1" applyFill="1" applyBorder="1">
      <alignment vertical="center"/>
    </xf>
    <xf numFmtId="0" fontId="7" fillId="0" borderId="31" xfId="0" applyFont="1" applyBorder="1" applyAlignment="1">
      <alignment horizontal="right" vertical="top"/>
    </xf>
    <xf numFmtId="177" fontId="13" fillId="0" borderId="13" xfId="0" applyNumberFormat="1" applyFont="1" applyBorder="1">
      <alignment vertical="center"/>
    </xf>
    <xf numFmtId="177" fontId="13" fillId="0" borderId="14" xfId="0" applyNumberFormat="1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 applyAlignment="1">
      <alignment horizontal="right" vertical="center"/>
    </xf>
    <xf numFmtId="177" fontId="13" fillId="0" borderId="16" xfId="0" applyNumberFormat="1" applyFont="1" applyBorder="1">
      <alignment vertical="center"/>
    </xf>
    <xf numFmtId="177" fontId="13" fillId="0" borderId="17" xfId="0" applyNumberFormat="1" applyFont="1" applyBorder="1">
      <alignment vertical="center"/>
    </xf>
    <xf numFmtId="0" fontId="13" fillId="0" borderId="6" xfId="0" applyFont="1" applyBorder="1">
      <alignment vertical="center"/>
    </xf>
    <xf numFmtId="0" fontId="13" fillId="0" borderId="8" xfId="0" applyFont="1" applyBorder="1">
      <alignment vertical="center"/>
    </xf>
    <xf numFmtId="0" fontId="14" fillId="6" borderId="1" xfId="0" applyFont="1" applyFill="1" applyBorder="1" applyAlignment="1">
      <alignment horizontal="centerContinuous" vertical="center"/>
    </xf>
    <xf numFmtId="0" fontId="14" fillId="6" borderId="2" xfId="0" applyFont="1" applyFill="1" applyBorder="1" applyAlignment="1">
      <alignment horizontal="centerContinuous" vertical="center"/>
    </xf>
    <xf numFmtId="0" fontId="14" fillId="6" borderId="3" xfId="0" applyFont="1" applyFill="1" applyBorder="1" applyAlignment="1">
      <alignment horizontal="centerContinuous" vertical="center"/>
    </xf>
    <xf numFmtId="0" fontId="15" fillId="0" borderId="0" xfId="0" applyFont="1">
      <alignment vertical="center"/>
    </xf>
    <xf numFmtId="0" fontId="14" fillId="6" borderId="10" xfId="0" applyFont="1" applyFill="1" applyBorder="1" applyAlignment="1">
      <alignment horizontal="centerContinuous" vertical="center"/>
    </xf>
    <xf numFmtId="0" fontId="14" fillId="6" borderId="11" xfId="0" applyFont="1" applyFill="1" applyBorder="1" applyAlignment="1">
      <alignment horizontal="centerContinuous" vertical="center"/>
    </xf>
    <xf numFmtId="178" fontId="0" fillId="0" borderId="56" xfId="0" applyNumberFormat="1" applyFont="1" applyBorder="1" applyAlignment="1">
      <alignment vertical="center"/>
    </xf>
    <xf numFmtId="178" fontId="0" fillId="0" borderId="57" xfId="0" applyNumberFormat="1" applyFont="1" applyBorder="1" applyAlignment="1">
      <alignment vertical="center"/>
    </xf>
    <xf numFmtId="178" fontId="0" fillId="0" borderId="58" xfId="0" applyNumberFormat="1" applyFont="1" applyBorder="1" applyAlignment="1">
      <alignment vertical="center"/>
    </xf>
    <xf numFmtId="178" fontId="0" fillId="4" borderId="60" xfId="0" applyNumberFormat="1" applyFont="1" applyFill="1" applyBorder="1" applyAlignment="1">
      <alignment vertical="center"/>
    </xf>
    <xf numFmtId="178" fontId="0" fillId="4" borderId="61" xfId="0" applyNumberFormat="1" applyFont="1" applyFill="1" applyBorder="1" applyAlignment="1">
      <alignment vertical="center"/>
    </xf>
    <xf numFmtId="178" fontId="0" fillId="4" borderId="59" xfId="0" applyNumberFormat="1" applyFont="1" applyFill="1" applyBorder="1" applyAlignment="1">
      <alignment vertical="center"/>
    </xf>
    <xf numFmtId="178" fontId="0" fillId="0" borderId="57" xfId="1" applyNumberFormat="1" applyFont="1" applyBorder="1" applyAlignment="1">
      <alignment vertical="center"/>
    </xf>
    <xf numFmtId="178" fontId="0" fillId="4" borderId="60" xfId="1" applyNumberFormat="1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horizontal="centerContinuous" vertical="center"/>
    </xf>
    <xf numFmtId="14" fontId="2" fillId="3" borderId="50" xfId="0" applyNumberFormat="1" applyFont="1" applyFill="1" applyBorder="1" applyAlignment="1">
      <alignment horizontal="centerContinuous" vertical="center"/>
    </xf>
    <xf numFmtId="178" fontId="2" fillId="3" borderId="9" xfId="1" applyNumberFormat="1" applyFont="1" applyFill="1" applyBorder="1" applyAlignment="1">
      <alignment vertical="center"/>
    </xf>
    <xf numFmtId="178" fontId="2" fillId="3" borderId="10" xfId="1" applyNumberFormat="1" applyFont="1" applyFill="1" applyBorder="1" applyAlignment="1">
      <alignment vertical="center"/>
    </xf>
    <xf numFmtId="178" fontId="2" fillId="3" borderId="45" xfId="1" applyNumberFormat="1" applyFont="1" applyFill="1" applyBorder="1">
      <alignment vertical="center"/>
    </xf>
    <xf numFmtId="178" fontId="2" fillId="3" borderId="50" xfId="1" applyNumberFormat="1" applyFont="1" applyFill="1" applyBorder="1">
      <alignment vertical="center"/>
    </xf>
    <xf numFmtId="178" fontId="2" fillId="3" borderId="45" xfId="1" applyNumberFormat="1" applyFont="1" applyFill="1" applyBorder="1" applyAlignment="1">
      <alignment vertical="center"/>
    </xf>
    <xf numFmtId="178" fontId="2" fillId="3" borderId="10" xfId="0" applyNumberFormat="1" applyFont="1" applyFill="1" applyBorder="1">
      <alignment vertical="center"/>
    </xf>
    <xf numFmtId="178" fontId="2" fillId="3" borderId="45" xfId="0" applyNumberFormat="1" applyFont="1" applyFill="1" applyBorder="1">
      <alignment vertical="center"/>
    </xf>
    <xf numFmtId="178" fontId="2" fillId="3" borderId="5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8" fontId="0" fillId="0" borderId="2" xfId="0" applyNumberFormat="1" applyBorder="1">
      <alignment vertical="center"/>
    </xf>
    <xf numFmtId="0" fontId="2" fillId="0" borderId="34" xfId="0" applyFont="1" applyBorder="1" applyAlignment="1">
      <alignment horizontal="centerContinuous" vertical="center"/>
    </xf>
    <xf numFmtId="0" fontId="2" fillId="0" borderId="35" xfId="0" applyFont="1" applyBorder="1" applyAlignment="1">
      <alignment horizontal="centerContinuous" vertical="center"/>
    </xf>
    <xf numFmtId="0" fontId="2" fillId="0" borderId="71" xfId="0" applyFont="1" applyBorder="1" applyAlignment="1">
      <alignment horizontal="centerContinuous" vertical="center"/>
    </xf>
    <xf numFmtId="176" fontId="2" fillId="0" borderId="64" xfId="0" applyNumberFormat="1" applyFont="1" applyBorder="1" applyAlignment="1">
      <alignment horizontal="centerContinuous" vertical="center"/>
    </xf>
    <xf numFmtId="176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>
      <alignment vertical="center"/>
    </xf>
    <xf numFmtId="178" fontId="6" fillId="3" borderId="28" xfId="1" applyNumberFormat="1" applyFont="1" applyFill="1" applyBorder="1" applyAlignment="1">
      <alignment vertical="center"/>
    </xf>
    <xf numFmtId="178" fontId="6" fillId="3" borderId="29" xfId="1" applyNumberFormat="1" applyFont="1" applyFill="1" applyBorder="1" applyAlignment="1">
      <alignment vertical="center"/>
    </xf>
    <xf numFmtId="178" fontId="6" fillId="3" borderId="29" xfId="1" applyNumberFormat="1" applyFont="1" applyFill="1" applyBorder="1">
      <alignment vertical="center"/>
    </xf>
    <xf numFmtId="178" fontId="6" fillId="3" borderId="39" xfId="1" applyNumberFormat="1" applyFont="1" applyFill="1" applyBorder="1">
      <alignment vertical="center"/>
    </xf>
    <xf numFmtId="178" fontId="6" fillId="3" borderId="3" xfId="1" applyNumberFormat="1" applyFont="1" applyFill="1" applyBorder="1">
      <alignment vertical="center"/>
    </xf>
    <xf numFmtId="0" fontId="16" fillId="10" borderId="34" xfId="0" applyFont="1" applyFill="1" applyBorder="1" applyAlignment="1">
      <alignment horizontal="centerContinuous" vertical="center"/>
    </xf>
    <xf numFmtId="0" fontId="16" fillId="10" borderId="35" xfId="0" applyFont="1" applyFill="1" applyBorder="1" applyAlignment="1">
      <alignment horizontal="centerContinuous" vertical="center"/>
    </xf>
    <xf numFmtId="0" fontId="16" fillId="10" borderId="36" xfId="0" applyFont="1" applyFill="1" applyBorder="1" applyAlignment="1">
      <alignment horizontal="centerContinuous" vertical="center"/>
    </xf>
    <xf numFmtId="0" fontId="16" fillId="10" borderId="9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6" fillId="10" borderId="45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6" fillId="10" borderId="15" xfId="0" applyFont="1" applyFill="1" applyBorder="1" applyAlignment="1">
      <alignment horizontal="center" vertical="center"/>
    </xf>
    <xf numFmtId="0" fontId="16" fillId="10" borderId="16" xfId="0" applyFont="1" applyFill="1" applyBorder="1" applyAlignment="1">
      <alignment horizontal="center" vertical="center"/>
    </xf>
    <xf numFmtId="0" fontId="16" fillId="10" borderId="50" xfId="0" applyFont="1" applyFill="1" applyBorder="1" applyAlignment="1">
      <alignment horizontal="center" vertical="center"/>
    </xf>
    <xf numFmtId="0" fontId="16" fillId="10" borderId="47" xfId="0" applyFont="1" applyFill="1" applyBorder="1" applyAlignment="1">
      <alignment horizontal="center" vertical="center"/>
    </xf>
    <xf numFmtId="178" fontId="6" fillId="0" borderId="18" xfId="0" applyNumberFormat="1" applyFont="1" applyBorder="1">
      <alignment vertical="center"/>
    </xf>
    <xf numFmtId="178" fontId="6" fillId="0" borderId="66" xfId="0" applyNumberFormat="1" applyFont="1" applyBorder="1">
      <alignment vertical="center"/>
    </xf>
    <xf numFmtId="0" fontId="14" fillId="6" borderId="71" xfId="0" applyFont="1" applyFill="1" applyBorder="1" applyAlignment="1">
      <alignment horizontal="centerContinuous" vertical="center"/>
    </xf>
    <xf numFmtId="178" fontId="6" fillId="0" borderId="54" xfId="0" applyNumberFormat="1" applyFont="1" applyBorder="1">
      <alignment vertical="center"/>
    </xf>
    <xf numFmtId="176" fontId="7" fillId="9" borderId="28" xfId="0" applyNumberFormat="1" applyFont="1" applyFill="1" applyBorder="1" applyAlignment="1">
      <alignment horizontal="center" vertical="center"/>
    </xf>
    <xf numFmtId="176" fontId="7" fillId="9" borderId="12" xfId="0" applyNumberFormat="1" applyFont="1" applyFill="1" applyBorder="1" applyAlignment="1">
      <alignment horizontal="center" vertical="center"/>
    </xf>
    <xf numFmtId="176" fontId="7" fillId="9" borderId="6" xfId="0" applyNumberFormat="1" applyFont="1" applyFill="1" applyBorder="1" applyAlignment="1">
      <alignment horizontal="centerContinuous" vertical="center"/>
    </xf>
    <xf numFmtId="0" fontId="2" fillId="0" borderId="72" xfId="0" applyFont="1" applyBorder="1" applyAlignment="1">
      <alignment horizontal="centerContinuous" vertical="center"/>
    </xf>
    <xf numFmtId="176" fontId="2" fillId="0" borderId="73" xfId="0" applyNumberFormat="1" applyFont="1" applyBorder="1" applyAlignment="1">
      <alignment horizontal="centerContinuous" vertical="center"/>
    </xf>
    <xf numFmtId="176" fontId="7" fillId="0" borderId="27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Continuous" vertical="center"/>
    </xf>
    <xf numFmtId="176" fontId="7" fillId="9" borderId="27" xfId="0" applyNumberFormat="1" applyFont="1" applyFill="1" applyBorder="1" applyAlignment="1">
      <alignment horizontal="center" vertical="center"/>
    </xf>
    <xf numFmtId="176" fontId="7" fillId="9" borderId="31" xfId="0" applyNumberFormat="1" applyFont="1" applyFill="1" applyBorder="1" applyAlignment="1">
      <alignment horizontal="center" vertical="center"/>
    </xf>
    <xf numFmtId="176" fontId="7" fillId="9" borderId="33" xfId="0" applyNumberFormat="1" applyFont="1" applyFill="1" applyBorder="1" applyAlignment="1">
      <alignment horizontal="center" vertical="center"/>
    </xf>
    <xf numFmtId="176" fontId="7" fillId="9" borderId="7" xfId="0" applyNumberFormat="1" applyFont="1" applyFill="1" applyBorder="1" applyAlignment="1">
      <alignment horizontal="centerContinuous" vertical="center"/>
    </xf>
    <xf numFmtId="178" fontId="2" fillId="0" borderId="36" xfId="0" applyNumberFormat="1" applyFont="1" applyBorder="1" applyAlignment="1">
      <alignment vertical="center"/>
    </xf>
    <xf numFmtId="177" fontId="0" fillId="0" borderId="50" xfId="0" applyNumberFormat="1" applyBorder="1">
      <alignment vertical="center"/>
    </xf>
    <xf numFmtId="178" fontId="0" fillId="0" borderId="50" xfId="0" applyNumberFormat="1" applyBorder="1">
      <alignment vertical="center"/>
    </xf>
    <xf numFmtId="178" fontId="2" fillId="0" borderId="63" xfId="0" applyNumberFormat="1" applyFont="1" applyBorder="1" applyAlignment="1">
      <alignment vertical="center"/>
    </xf>
    <xf numFmtId="177" fontId="0" fillId="0" borderId="10" xfId="0" applyNumberFormat="1" applyBorder="1">
      <alignment vertical="center"/>
    </xf>
    <xf numFmtId="176" fontId="13" fillId="0" borderId="1" xfId="0" applyNumberFormat="1" applyFont="1" applyBorder="1">
      <alignment vertical="center"/>
    </xf>
    <xf numFmtId="176" fontId="13" fillId="0" borderId="4" xfId="0" applyNumberFormat="1" applyFont="1" applyBorder="1">
      <alignment vertical="center"/>
    </xf>
    <xf numFmtId="176" fontId="13" fillId="0" borderId="22" xfId="0" applyNumberFormat="1" applyFont="1" applyBorder="1">
      <alignment vertical="center"/>
    </xf>
    <xf numFmtId="176" fontId="13" fillId="0" borderId="6" xfId="0" applyNumberFormat="1" applyFont="1" applyBorder="1">
      <alignment vertical="center"/>
    </xf>
    <xf numFmtId="176" fontId="13" fillId="9" borderId="1" xfId="0" applyNumberFormat="1" applyFont="1" applyFill="1" applyBorder="1">
      <alignment vertical="center"/>
    </xf>
    <xf numFmtId="176" fontId="13" fillId="9" borderId="4" xfId="0" applyNumberFormat="1" applyFont="1" applyFill="1" applyBorder="1">
      <alignment vertical="center"/>
    </xf>
    <xf numFmtId="176" fontId="13" fillId="9" borderId="22" xfId="0" applyNumberFormat="1" applyFont="1" applyFill="1" applyBorder="1">
      <alignment vertical="center"/>
    </xf>
    <xf numFmtId="176" fontId="13" fillId="9" borderId="6" xfId="0" applyNumberFormat="1" applyFont="1" applyFill="1" applyBorder="1">
      <alignment vertical="center"/>
    </xf>
    <xf numFmtId="177" fontId="13" fillId="0" borderId="4" xfId="0" applyNumberFormat="1" applyFont="1" applyBorder="1">
      <alignment vertical="center"/>
    </xf>
    <xf numFmtId="177" fontId="13" fillId="0" borderId="6" xfId="0" applyNumberFormat="1" applyFont="1" applyBorder="1">
      <alignment vertical="center"/>
    </xf>
    <xf numFmtId="0" fontId="14" fillId="6" borderId="45" xfId="0" applyFont="1" applyFill="1" applyBorder="1" applyAlignment="1">
      <alignment horizontal="centerContinuous" vertical="center"/>
    </xf>
    <xf numFmtId="177" fontId="13" fillId="0" borderId="46" xfId="0" applyNumberFormat="1" applyFont="1" applyBorder="1">
      <alignment vertical="center"/>
    </xf>
    <xf numFmtId="177" fontId="13" fillId="0" borderId="47" xfId="0" applyNumberFormat="1" applyFont="1" applyBorder="1">
      <alignment vertical="center"/>
    </xf>
    <xf numFmtId="0" fontId="14" fillId="6" borderId="78" xfId="0" applyFont="1" applyFill="1" applyBorder="1" applyAlignment="1">
      <alignment horizontal="centerContinuous" vertical="center"/>
    </xf>
    <xf numFmtId="177" fontId="13" fillId="0" borderId="75" xfId="0" applyNumberFormat="1" applyFont="1" applyBorder="1">
      <alignment vertical="center"/>
    </xf>
    <xf numFmtId="177" fontId="13" fillId="0" borderId="77" xfId="0" applyNumberFormat="1" applyFont="1" applyBorder="1">
      <alignment vertical="center"/>
    </xf>
    <xf numFmtId="178" fontId="2" fillId="0" borderId="34" xfId="0" applyNumberFormat="1" applyFont="1" applyBorder="1" applyAlignment="1">
      <alignment vertical="center"/>
    </xf>
    <xf numFmtId="177" fontId="0" fillId="0" borderId="71" xfId="0" applyNumberFormat="1" applyBorder="1">
      <alignment vertical="center"/>
    </xf>
    <xf numFmtId="178" fontId="0" fillId="0" borderId="71" xfId="0" applyNumberFormat="1" applyBorder="1">
      <alignment vertical="center"/>
    </xf>
    <xf numFmtId="178" fontId="2" fillId="0" borderId="35" xfId="0" applyNumberFormat="1" applyFont="1" applyFill="1" applyBorder="1" applyAlignment="1">
      <alignment vertical="center"/>
    </xf>
    <xf numFmtId="177" fontId="0" fillId="0" borderId="64" xfId="0" applyNumberFormat="1" applyBorder="1">
      <alignment vertical="center"/>
    </xf>
    <xf numFmtId="178" fontId="0" fillId="0" borderId="64" xfId="0" applyNumberFormat="1" applyBorder="1">
      <alignment vertical="center"/>
    </xf>
    <xf numFmtId="178" fontId="2" fillId="3" borderId="63" xfId="0" applyNumberFormat="1" applyFont="1" applyFill="1" applyBorder="1" applyAlignment="1">
      <alignment vertical="center"/>
    </xf>
    <xf numFmtId="177" fontId="2" fillId="3" borderId="10" xfId="0" applyNumberFormat="1" applyFont="1" applyFill="1" applyBorder="1">
      <alignment vertical="center"/>
    </xf>
    <xf numFmtId="0" fontId="7" fillId="11" borderId="48" xfId="0" applyFont="1" applyFill="1" applyBorder="1" applyAlignment="1">
      <alignment horizontal="centerContinuous" vertical="center"/>
    </xf>
    <xf numFmtId="0" fontId="7" fillId="11" borderId="67" xfId="0" applyFont="1" applyFill="1" applyBorder="1" applyAlignment="1">
      <alignment horizontal="centerContinuous" vertical="center"/>
    </xf>
    <xf numFmtId="0" fontId="7" fillId="11" borderId="1" xfId="0" applyFont="1" applyFill="1" applyBorder="1" applyAlignment="1">
      <alignment horizontal="centerContinuous" vertical="center"/>
    </xf>
    <xf numFmtId="0" fontId="7" fillId="11" borderId="29" xfId="0" applyFont="1" applyFill="1" applyBorder="1" applyAlignment="1">
      <alignment horizontal="centerContinuous" vertical="center"/>
    </xf>
    <xf numFmtId="0" fontId="7" fillId="11" borderId="39" xfId="0" applyFont="1" applyFill="1" applyBorder="1" applyAlignment="1">
      <alignment horizontal="centerContinuous" vertical="center"/>
    </xf>
    <xf numFmtId="0" fontId="7" fillId="11" borderId="30" xfId="0" applyFont="1" applyFill="1" applyBorder="1" applyAlignment="1">
      <alignment horizontal="centerContinuous" vertical="center"/>
    </xf>
    <xf numFmtId="0" fontId="2" fillId="11" borderId="48" xfId="0" applyFont="1" applyFill="1" applyBorder="1" applyAlignment="1">
      <alignment horizontal="centerContinuous" vertical="center"/>
    </xf>
    <xf numFmtId="0" fontId="2" fillId="11" borderId="67" xfId="0" applyFont="1" applyFill="1" applyBorder="1" applyAlignment="1">
      <alignment horizontal="centerContinuous" vertical="center"/>
    </xf>
    <xf numFmtId="178" fontId="2" fillId="11" borderId="1" xfId="0" applyNumberFormat="1" applyFont="1" applyFill="1" applyBorder="1" applyAlignment="1">
      <alignment horizontal="centerContinuous" vertical="center"/>
    </xf>
    <xf numFmtId="178" fontId="2" fillId="11" borderId="29" xfId="0" applyNumberFormat="1" applyFont="1" applyFill="1" applyBorder="1" applyAlignment="1">
      <alignment horizontal="centerContinuous" vertical="center"/>
    </xf>
    <xf numFmtId="178" fontId="2" fillId="11" borderId="2" xfId="0" applyNumberFormat="1" applyFont="1" applyFill="1" applyBorder="1" applyAlignment="1">
      <alignment horizontal="centerContinuous" vertical="center"/>
    </xf>
    <xf numFmtId="178" fontId="2" fillId="11" borderId="3" xfId="0" applyNumberFormat="1" applyFont="1" applyFill="1" applyBorder="1" applyAlignment="1">
      <alignment horizontal="centerContinuous" vertical="center"/>
    </xf>
    <xf numFmtId="180" fontId="0" fillId="0" borderId="0" xfId="0" applyNumberFormat="1">
      <alignment vertical="center"/>
    </xf>
    <xf numFmtId="178" fontId="6" fillId="0" borderId="4" xfId="1" applyNumberFormat="1" applyFont="1" applyFill="1" applyBorder="1" applyAlignment="1">
      <alignment vertical="center"/>
    </xf>
    <xf numFmtId="178" fontId="6" fillId="0" borderId="0" xfId="1" applyNumberFormat="1" applyFont="1" applyFill="1" applyBorder="1" applyAlignment="1">
      <alignment vertical="center"/>
    </xf>
    <xf numFmtId="178" fontId="6" fillId="0" borderId="6" xfId="1" applyNumberFormat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center"/>
    </xf>
    <xf numFmtId="178" fontId="6" fillId="0" borderId="8" xfId="1" applyNumberFormat="1" applyFont="1" applyFill="1" applyBorder="1" applyAlignment="1">
      <alignment vertical="center"/>
    </xf>
    <xf numFmtId="178" fontId="2" fillId="0" borderId="4" xfId="1" applyNumberFormat="1" applyFont="1" applyFill="1" applyBorder="1" applyAlignment="1">
      <alignment vertical="center"/>
    </xf>
    <xf numFmtId="41" fontId="0" fillId="0" borderId="0" xfId="0" applyNumberFormat="1" applyFont="1">
      <alignment vertical="center"/>
    </xf>
    <xf numFmtId="9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176" fontId="0" fillId="9" borderId="0" xfId="0" applyNumberFormat="1" applyFill="1">
      <alignment vertical="center"/>
    </xf>
    <xf numFmtId="0" fontId="0" fillId="9" borderId="0" xfId="0" applyFill="1">
      <alignment vertical="center"/>
    </xf>
    <xf numFmtId="178" fontId="0" fillId="4" borderId="0" xfId="1" applyNumberFormat="1" applyFont="1" applyFill="1">
      <alignment vertical="center"/>
    </xf>
    <xf numFmtId="178" fontId="6" fillId="0" borderId="34" xfId="0" applyNumberFormat="1" applyFont="1" applyBorder="1" applyAlignment="1">
      <alignment vertical="center"/>
    </xf>
    <xf numFmtId="178" fontId="6" fillId="3" borderId="63" xfId="0" applyNumberFormat="1" applyFont="1" applyFill="1" applyBorder="1" applyAlignment="1">
      <alignment vertical="center"/>
    </xf>
    <xf numFmtId="178" fontId="6" fillId="0" borderId="35" xfId="0" applyNumberFormat="1" applyFont="1" applyFill="1" applyBorder="1" applyAlignment="1">
      <alignment vertical="center"/>
    </xf>
    <xf numFmtId="178" fontId="6" fillId="0" borderId="63" xfId="0" applyNumberFormat="1" applyFont="1" applyBorder="1" applyAlignment="1">
      <alignment vertical="center"/>
    </xf>
    <xf numFmtId="178" fontId="6" fillId="0" borderId="36" xfId="0" applyNumberFormat="1" applyFont="1" applyBorder="1" applyAlignment="1">
      <alignment vertical="center"/>
    </xf>
    <xf numFmtId="178" fontId="6" fillId="0" borderId="48" xfId="1" applyNumberFormat="1" applyFont="1" applyBorder="1">
      <alignment vertical="center"/>
    </xf>
    <xf numFmtId="178" fontId="6" fillId="3" borderId="38" xfId="1" applyNumberFormat="1" applyFont="1" applyFill="1" applyBorder="1">
      <alignment vertical="center"/>
    </xf>
    <xf numFmtId="178" fontId="6" fillId="0" borderId="67" xfId="0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55" xfId="0" applyNumberFormat="1" applyFont="1" applyBorder="1">
      <alignment vertical="center"/>
    </xf>
    <xf numFmtId="178" fontId="6" fillId="3" borderId="20" xfId="0" applyNumberFormat="1" applyFont="1" applyFill="1" applyBorder="1">
      <alignment vertical="center"/>
    </xf>
    <xf numFmtId="178" fontId="6" fillId="0" borderId="20" xfId="0" applyNumberFormat="1" applyFont="1" applyBorder="1">
      <alignment vertical="center"/>
    </xf>
    <xf numFmtId="178" fontId="6" fillId="0" borderId="6" xfId="1" applyNumberFormat="1" applyFont="1" applyBorder="1">
      <alignment vertical="center"/>
    </xf>
    <xf numFmtId="178" fontId="6" fillId="3" borderId="16" xfId="1" applyNumberFormat="1" applyFont="1" applyFill="1" applyBorder="1">
      <alignment vertical="center"/>
    </xf>
    <xf numFmtId="178" fontId="6" fillId="0" borderId="7" xfId="1" applyNumberFormat="1" applyFont="1" applyBorder="1">
      <alignment vertical="center"/>
    </xf>
    <xf numFmtId="178" fontId="6" fillId="0" borderId="16" xfId="1" applyNumberFormat="1" applyFont="1" applyBorder="1">
      <alignment vertical="center"/>
    </xf>
    <xf numFmtId="178" fontId="6" fillId="0" borderId="8" xfId="1" applyNumberFormat="1" applyFont="1" applyBorder="1">
      <alignment vertical="center"/>
    </xf>
    <xf numFmtId="178" fontId="6" fillId="0" borderId="80" xfId="1" applyNumberFormat="1" applyFont="1" applyBorder="1">
      <alignment vertical="center"/>
    </xf>
    <xf numFmtId="178" fontId="6" fillId="3" borderId="43" xfId="1" applyNumberFormat="1" applyFont="1" applyFill="1" applyBorder="1">
      <alignment vertical="center"/>
    </xf>
    <xf numFmtId="178" fontId="6" fillId="0" borderId="81" xfId="0" applyNumberFormat="1" applyFont="1" applyBorder="1">
      <alignment vertical="center"/>
    </xf>
    <xf numFmtId="178" fontId="6" fillId="0" borderId="43" xfId="1" applyNumberFormat="1" applyFont="1" applyBorder="1">
      <alignment vertical="center"/>
    </xf>
    <xf numFmtId="178" fontId="6" fillId="0" borderId="52" xfId="0" applyNumberFormat="1" applyFont="1" applyBorder="1">
      <alignment vertical="center"/>
    </xf>
    <xf numFmtId="178" fontId="6" fillId="0" borderId="80" xfId="0" applyNumberFormat="1" applyFont="1" applyBorder="1" applyAlignment="1">
      <alignment horizontal="centerContinuous" vertical="center"/>
    </xf>
    <xf numFmtId="178" fontId="6" fillId="0" borderId="81" xfId="0" applyNumberFormat="1" applyFont="1" applyBorder="1" applyAlignment="1">
      <alignment horizontal="centerContinuous" vertical="center"/>
    </xf>
    <xf numFmtId="178" fontId="6" fillId="0" borderId="6" xfId="0" applyNumberFormat="1" applyFont="1" applyBorder="1" applyAlignment="1">
      <alignment horizontal="centerContinuous" vertical="center"/>
    </xf>
    <xf numFmtId="178" fontId="6" fillId="0" borderId="7" xfId="0" applyNumberFormat="1" applyFont="1" applyBorder="1" applyAlignment="1">
      <alignment horizontal="centerContinuous" vertical="center"/>
    </xf>
    <xf numFmtId="178" fontId="6" fillId="9" borderId="4" xfId="1" applyNumberFormat="1" applyFont="1" applyFill="1" applyBorder="1" applyAlignment="1">
      <alignment vertical="center"/>
    </xf>
    <xf numFmtId="14" fontId="2" fillId="4" borderId="4" xfId="0" applyNumberFormat="1" applyFont="1" applyFill="1" applyBorder="1" applyAlignment="1">
      <alignment horizontal="centerContinuous" vertical="center"/>
    </xf>
    <xf numFmtId="14" fontId="2" fillId="4" borderId="5" xfId="0" applyNumberFormat="1" applyFont="1" applyFill="1" applyBorder="1" applyAlignment="1">
      <alignment horizontal="centerContinuous" vertical="center"/>
    </xf>
    <xf numFmtId="178" fontId="2" fillId="4" borderId="12" xfId="1" applyNumberFormat="1" applyFont="1" applyFill="1" applyBorder="1" applyAlignment="1">
      <alignment vertical="center"/>
    </xf>
    <xf numFmtId="178" fontId="2" fillId="4" borderId="13" xfId="1" applyNumberFormat="1" applyFont="1" applyFill="1" applyBorder="1" applyAlignment="1">
      <alignment vertical="center"/>
    </xf>
    <xf numFmtId="178" fontId="2" fillId="4" borderId="46" xfId="1" applyNumberFormat="1" applyFont="1" applyFill="1" applyBorder="1">
      <alignment vertical="center"/>
    </xf>
    <xf numFmtId="178" fontId="2" fillId="4" borderId="13" xfId="1" applyNumberFormat="1" applyFont="1" applyFill="1" applyBorder="1">
      <alignment vertical="center"/>
    </xf>
    <xf numFmtId="178" fontId="2" fillId="4" borderId="14" xfId="1" applyNumberFormat="1" applyFont="1" applyFill="1" applyBorder="1">
      <alignment vertical="center"/>
    </xf>
    <xf numFmtId="178" fontId="2" fillId="4" borderId="5" xfId="1" applyNumberFormat="1" applyFont="1" applyFill="1" applyBorder="1" applyAlignment="1">
      <alignment vertical="center"/>
    </xf>
    <xf numFmtId="178" fontId="2" fillId="4" borderId="46" xfId="1" applyNumberFormat="1" applyFont="1" applyFill="1" applyBorder="1" applyAlignment="1">
      <alignment vertical="center"/>
    </xf>
    <xf numFmtId="178" fontId="2" fillId="4" borderId="14" xfId="1" applyNumberFormat="1" applyFont="1" applyFill="1" applyBorder="1" applyAlignment="1">
      <alignment vertical="center"/>
    </xf>
    <xf numFmtId="14" fontId="2" fillId="4" borderId="48" xfId="0" applyNumberFormat="1" applyFont="1" applyFill="1" applyBorder="1" applyAlignment="1">
      <alignment horizontal="centerContinuous" vertical="center"/>
    </xf>
    <xf numFmtId="14" fontId="2" fillId="4" borderId="55" xfId="0" applyNumberFormat="1" applyFont="1" applyFill="1" applyBorder="1" applyAlignment="1">
      <alignment horizontal="centerContinuous" vertical="center"/>
    </xf>
    <xf numFmtId="178" fontId="2" fillId="4" borderId="37" xfId="0" applyNumberFormat="1" applyFont="1" applyFill="1" applyBorder="1" applyAlignment="1">
      <alignment vertical="center"/>
    </xf>
    <xf numFmtId="178" fontId="2" fillId="4" borderId="38" xfId="1" applyNumberFormat="1" applyFont="1" applyFill="1" applyBorder="1" applyAlignment="1">
      <alignment vertical="center"/>
    </xf>
    <xf numFmtId="178" fontId="2" fillId="4" borderId="40" xfId="0" applyNumberFormat="1" applyFont="1" applyFill="1" applyBorder="1">
      <alignment vertical="center"/>
    </xf>
    <xf numFmtId="178" fontId="2" fillId="4" borderId="40" xfId="1" applyNumberFormat="1" applyFont="1" applyFill="1" applyBorder="1">
      <alignment vertical="center"/>
    </xf>
    <xf numFmtId="178" fontId="2" fillId="4" borderId="55" xfId="1" applyNumberFormat="1" applyFont="1" applyFill="1" applyBorder="1">
      <alignment vertical="center"/>
    </xf>
    <xf numFmtId="178" fontId="2" fillId="3" borderId="71" xfId="0" applyNumberFormat="1" applyFont="1" applyFill="1" applyBorder="1" applyAlignment="1">
      <alignment vertical="center"/>
    </xf>
    <xf numFmtId="178" fontId="2" fillId="3" borderId="64" xfId="0" applyNumberFormat="1" applyFont="1" applyFill="1" applyBorder="1" applyAlignment="1">
      <alignment vertical="center"/>
    </xf>
    <xf numFmtId="178" fontId="2" fillId="3" borderId="50" xfId="0" applyNumberFormat="1" applyFont="1" applyFill="1" applyBorder="1" applyAlignment="1">
      <alignment vertical="center"/>
    </xf>
    <xf numFmtId="178" fontId="6" fillId="9" borderId="1" xfId="1" applyNumberFormat="1" applyFont="1" applyFill="1" applyBorder="1" applyAlignment="1">
      <alignment vertical="center"/>
    </xf>
    <xf numFmtId="178" fontId="6" fillId="9" borderId="2" xfId="1" applyNumberFormat="1" applyFont="1" applyFill="1" applyBorder="1" applyAlignment="1">
      <alignment vertical="center"/>
    </xf>
    <xf numFmtId="178" fontId="6" fillId="9" borderId="3" xfId="1" applyNumberFormat="1" applyFont="1" applyFill="1" applyBorder="1" applyAlignment="1">
      <alignment vertical="center"/>
    </xf>
    <xf numFmtId="178" fontId="2" fillId="4" borderId="48" xfId="0" applyNumberFormat="1" applyFont="1" applyFill="1" applyBorder="1" applyAlignment="1">
      <alignment vertical="center"/>
    </xf>
    <xf numFmtId="178" fontId="2" fillId="4" borderId="67" xfId="0" applyNumberFormat="1" applyFont="1" applyFill="1" applyBorder="1" applyAlignment="1">
      <alignment vertical="center"/>
    </xf>
    <xf numFmtId="178" fontId="2" fillId="4" borderId="55" xfId="0" applyNumberFormat="1" applyFont="1" applyFill="1" applyBorder="1" applyAlignment="1">
      <alignment vertical="center"/>
    </xf>
    <xf numFmtId="0" fontId="6" fillId="0" borderId="0" xfId="0" applyFont="1">
      <alignment vertical="center"/>
    </xf>
    <xf numFmtId="179" fontId="0" fillId="0" borderId="0" xfId="1" applyNumberFormat="1" applyFont="1">
      <alignment vertical="center"/>
    </xf>
    <xf numFmtId="9" fontId="0" fillId="0" borderId="0" xfId="0" applyNumberFormat="1" applyFont="1" applyAlignment="1">
      <alignment vertical="center"/>
    </xf>
    <xf numFmtId="178" fontId="13" fillId="0" borderId="39" xfId="0" applyNumberFormat="1" applyFont="1" applyBorder="1">
      <alignment vertical="center"/>
    </xf>
    <xf numFmtId="178" fontId="13" fillId="0" borderId="29" xfId="0" applyNumberFormat="1" applyFont="1" applyBorder="1">
      <alignment vertical="center"/>
    </xf>
    <xf numFmtId="178" fontId="13" fillId="0" borderId="30" xfId="0" applyNumberFormat="1" applyFont="1" applyBorder="1">
      <alignment vertical="center"/>
    </xf>
    <xf numFmtId="178" fontId="13" fillId="0" borderId="46" xfId="0" applyNumberFormat="1" applyFont="1" applyBorder="1">
      <alignment vertical="center"/>
    </xf>
    <xf numFmtId="178" fontId="13" fillId="0" borderId="13" xfId="0" applyNumberFormat="1" applyFont="1" applyBorder="1">
      <alignment vertical="center"/>
    </xf>
    <xf numFmtId="178" fontId="13" fillId="0" borderId="14" xfId="0" applyNumberFormat="1" applyFont="1" applyBorder="1">
      <alignment vertical="center"/>
    </xf>
    <xf numFmtId="178" fontId="13" fillId="0" borderId="49" xfId="0" applyNumberFormat="1" applyFont="1" applyBorder="1">
      <alignment vertical="center"/>
    </xf>
    <xf numFmtId="178" fontId="13" fillId="0" borderId="25" xfId="0" applyNumberFormat="1" applyFont="1" applyBorder="1">
      <alignment vertical="center"/>
    </xf>
    <xf numFmtId="178" fontId="13" fillId="0" borderId="26" xfId="0" applyNumberFormat="1" applyFont="1" applyBorder="1">
      <alignment vertical="center"/>
    </xf>
    <xf numFmtId="178" fontId="13" fillId="0" borderId="47" xfId="0" applyNumberFormat="1" applyFont="1" applyBorder="1">
      <alignment vertical="center"/>
    </xf>
    <xf numFmtId="178" fontId="13" fillId="0" borderId="16" xfId="0" applyNumberFormat="1" applyFont="1" applyBorder="1">
      <alignment vertical="center"/>
    </xf>
    <xf numFmtId="178" fontId="13" fillId="0" borderId="17" xfId="0" applyNumberFormat="1" applyFont="1" applyBorder="1">
      <alignment vertical="center"/>
    </xf>
    <xf numFmtId="178" fontId="13" fillId="9" borderId="39" xfId="0" applyNumberFormat="1" applyFont="1" applyFill="1" applyBorder="1">
      <alignment vertical="center"/>
    </xf>
    <xf numFmtId="178" fontId="13" fillId="9" borderId="29" xfId="0" applyNumberFormat="1" applyFont="1" applyFill="1" applyBorder="1">
      <alignment vertical="center"/>
    </xf>
    <xf numFmtId="178" fontId="13" fillId="9" borderId="30" xfId="0" applyNumberFormat="1" applyFont="1" applyFill="1" applyBorder="1">
      <alignment vertical="center"/>
    </xf>
    <xf numFmtId="178" fontId="13" fillId="9" borderId="46" xfId="0" applyNumberFormat="1" applyFont="1" applyFill="1" applyBorder="1">
      <alignment vertical="center"/>
    </xf>
    <xf numFmtId="178" fontId="13" fillId="9" borderId="13" xfId="0" applyNumberFormat="1" applyFont="1" applyFill="1" applyBorder="1">
      <alignment vertical="center"/>
    </xf>
    <xf numFmtId="178" fontId="13" fillId="9" borderId="14" xfId="0" applyNumberFormat="1" applyFont="1" applyFill="1" applyBorder="1">
      <alignment vertical="center"/>
    </xf>
    <xf numFmtId="178" fontId="13" fillId="9" borderId="49" xfId="0" applyNumberFormat="1" applyFont="1" applyFill="1" applyBorder="1">
      <alignment vertical="center"/>
    </xf>
    <xf numFmtId="178" fontId="13" fillId="9" borderId="25" xfId="0" applyNumberFormat="1" applyFont="1" applyFill="1" applyBorder="1">
      <alignment vertical="center"/>
    </xf>
    <xf numFmtId="178" fontId="13" fillId="9" borderId="26" xfId="0" applyNumberFormat="1" applyFont="1" applyFill="1" applyBorder="1">
      <alignment vertical="center"/>
    </xf>
    <xf numFmtId="178" fontId="13" fillId="9" borderId="47" xfId="0" applyNumberFormat="1" applyFont="1" applyFill="1" applyBorder="1">
      <alignment vertical="center"/>
    </xf>
    <xf numFmtId="178" fontId="13" fillId="9" borderId="16" xfId="0" applyNumberFormat="1" applyFont="1" applyFill="1" applyBorder="1">
      <alignment vertical="center"/>
    </xf>
    <xf numFmtId="178" fontId="13" fillId="9" borderId="17" xfId="0" applyNumberFormat="1" applyFont="1" applyFill="1" applyBorder="1">
      <alignment vertical="center"/>
    </xf>
    <xf numFmtId="178" fontId="13" fillId="0" borderId="1" xfId="0" applyNumberFormat="1" applyFont="1" applyBorder="1">
      <alignment vertical="center"/>
    </xf>
    <xf numFmtId="178" fontId="13" fillId="0" borderId="74" xfId="0" applyNumberFormat="1" applyFont="1" applyBorder="1">
      <alignment vertical="center"/>
    </xf>
    <xf numFmtId="178" fontId="13" fillId="0" borderId="4" xfId="0" applyNumberFormat="1" applyFont="1" applyBorder="1">
      <alignment vertical="center"/>
    </xf>
    <xf numFmtId="178" fontId="13" fillId="0" borderId="75" xfId="0" applyNumberFormat="1" applyFont="1" applyBorder="1">
      <alignment vertical="center"/>
    </xf>
    <xf numFmtId="178" fontId="13" fillId="0" borderId="18" xfId="0" applyNumberFormat="1" applyFont="1" applyBorder="1">
      <alignment vertical="center"/>
    </xf>
    <xf numFmtId="178" fontId="13" fillId="0" borderId="79" xfId="0" applyNumberFormat="1" applyFont="1" applyBorder="1">
      <alignment vertical="center"/>
    </xf>
    <xf numFmtId="178" fontId="13" fillId="0" borderId="53" xfId="0" applyNumberFormat="1" applyFont="1" applyBorder="1">
      <alignment vertical="center"/>
    </xf>
    <xf numFmtId="178" fontId="13" fillId="0" borderId="20" xfId="0" applyNumberFormat="1" applyFont="1" applyBorder="1">
      <alignment vertical="center"/>
    </xf>
    <xf numFmtId="178" fontId="13" fillId="0" borderId="21" xfId="0" applyNumberFormat="1" applyFont="1" applyBorder="1">
      <alignment vertical="center"/>
    </xf>
    <xf numFmtId="178" fontId="13" fillId="0" borderId="22" xfId="0" applyNumberFormat="1" applyFont="1" applyBorder="1">
      <alignment vertical="center"/>
    </xf>
    <xf numFmtId="178" fontId="13" fillId="0" borderId="76" xfId="0" applyNumberFormat="1" applyFont="1" applyBorder="1">
      <alignment vertical="center"/>
    </xf>
    <xf numFmtId="178" fontId="12" fillId="7" borderId="79" xfId="0" applyNumberFormat="1" applyFont="1" applyFill="1" applyBorder="1">
      <alignment vertical="center"/>
    </xf>
    <xf numFmtId="178" fontId="12" fillId="5" borderId="75" xfId="0" applyNumberFormat="1" applyFont="1" applyFill="1" applyBorder="1">
      <alignment vertical="center"/>
    </xf>
    <xf numFmtId="181" fontId="0" fillId="0" borderId="0" xfId="1" applyNumberFormat="1" applyFont="1">
      <alignment vertical="center"/>
    </xf>
    <xf numFmtId="0" fontId="0" fillId="0" borderId="0" xfId="0" applyFont="1" applyAlignment="1">
      <alignment horizontal="right" vertical="center"/>
    </xf>
    <xf numFmtId="14" fontId="0" fillId="0" borderId="0" xfId="0" applyNumberFormat="1" applyFont="1" applyAlignment="1">
      <alignment horizontal="right" vertical="center"/>
    </xf>
    <xf numFmtId="9" fontId="0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178" fontId="0" fillId="0" borderId="0" xfId="0" applyNumberFormat="1" applyFont="1" applyAlignment="1">
      <alignment horizontal="right" vertical="center"/>
    </xf>
    <xf numFmtId="179" fontId="6" fillId="0" borderId="0" xfId="1" applyNumberFormat="1" applyFont="1" applyFill="1" applyBorder="1" applyAlignment="1">
      <alignment vertical="center"/>
    </xf>
    <xf numFmtId="182" fontId="0" fillId="0" borderId="0" xfId="0" applyNumberFormat="1">
      <alignment vertical="center"/>
    </xf>
    <xf numFmtId="178" fontId="0" fillId="0" borderId="17" xfId="0" applyNumberFormat="1" applyBorder="1">
      <alignment vertical="center"/>
    </xf>
    <xf numFmtId="178" fontId="2" fillId="0" borderId="7" xfId="0" applyNumberFormat="1" applyFont="1" applyBorder="1">
      <alignment vertical="center"/>
    </xf>
    <xf numFmtId="178" fontId="2" fillId="0" borderId="82" xfId="0" applyNumberFormat="1" applyFont="1" applyBorder="1">
      <alignment vertical="center"/>
    </xf>
    <xf numFmtId="178" fontId="0" fillId="0" borderId="6" xfId="0" applyNumberFormat="1" applyBorder="1">
      <alignment vertical="center"/>
    </xf>
    <xf numFmtId="178" fontId="0" fillId="0" borderId="8" xfId="0" applyNumberFormat="1" applyBorder="1">
      <alignment vertical="center"/>
    </xf>
    <xf numFmtId="178" fontId="0" fillId="0" borderId="6" xfId="0" applyNumberFormat="1" applyBorder="1" applyAlignment="1">
      <alignment horizontal="center" vertical="center"/>
    </xf>
    <xf numFmtId="178" fontId="0" fillId="0" borderId="14" xfId="0" applyNumberFormat="1" applyBorder="1">
      <alignment vertical="center"/>
    </xf>
    <xf numFmtId="178" fontId="2" fillId="0" borderId="83" xfId="0" applyNumberFormat="1" applyFont="1" applyBorder="1">
      <alignment vertical="center"/>
    </xf>
    <xf numFmtId="178" fontId="0" fillId="0" borderId="4" xfId="0" applyNumberFormat="1" applyBorder="1">
      <alignment vertical="center"/>
    </xf>
    <xf numFmtId="178" fontId="0" fillId="0" borderId="5" xfId="0" applyNumberFormat="1" applyBorder="1">
      <alignment vertical="center"/>
    </xf>
    <xf numFmtId="178" fontId="0" fillId="0" borderId="4" xfId="0" applyNumberFormat="1" applyBorder="1" applyAlignment="1">
      <alignment horizontal="center" vertical="center"/>
    </xf>
    <xf numFmtId="178" fontId="0" fillId="0" borderId="69" xfId="0" applyNumberFormat="1" applyBorder="1" applyAlignment="1">
      <alignment horizontal="center" vertical="center"/>
    </xf>
    <xf numFmtId="178" fontId="0" fillId="0" borderId="21" xfId="0" applyNumberFormat="1" applyBorder="1">
      <alignment vertical="center"/>
    </xf>
    <xf numFmtId="178" fontId="2" fillId="0" borderId="66" xfId="0" applyNumberFormat="1" applyFont="1" applyBorder="1">
      <alignment vertical="center"/>
    </xf>
    <xf numFmtId="178" fontId="2" fillId="0" borderId="84" xfId="0" applyNumberFormat="1" applyFont="1" applyBorder="1">
      <alignment vertical="center"/>
    </xf>
    <xf numFmtId="178" fontId="0" fillId="0" borderId="18" xfId="0" applyNumberFormat="1" applyBorder="1">
      <alignment vertical="center"/>
    </xf>
    <xf numFmtId="178" fontId="0" fillId="0" borderId="54" xfId="0" applyNumberFormat="1" applyBorder="1">
      <alignment vertical="center"/>
    </xf>
    <xf numFmtId="178" fontId="0" fillId="0" borderId="85" xfId="0" applyNumberFormat="1" applyBorder="1" applyAlignment="1">
      <alignment horizontal="center" vertical="center"/>
    </xf>
    <xf numFmtId="178" fontId="2" fillId="0" borderId="86" xfId="0" applyNumberFormat="1" applyFont="1" applyBorder="1">
      <alignment vertical="center"/>
    </xf>
    <xf numFmtId="178" fontId="0" fillId="0" borderId="30" xfId="0" applyNumberFormat="1" applyBorder="1">
      <alignment vertical="center"/>
    </xf>
    <xf numFmtId="178" fontId="2" fillId="0" borderId="2" xfId="0" applyNumberFormat="1" applyFont="1" applyBorder="1">
      <alignment vertical="center"/>
    </xf>
    <xf numFmtId="178" fontId="2" fillId="0" borderId="87" xfId="0" applyNumberFormat="1" applyFont="1" applyBorder="1">
      <alignment vertical="center"/>
    </xf>
    <xf numFmtId="178" fontId="0" fillId="0" borderId="1" xfId="0" applyNumberFormat="1" applyBorder="1">
      <alignment vertical="center"/>
    </xf>
    <xf numFmtId="178" fontId="0" fillId="0" borderId="3" xfId="0" applyNumberFormat="1" applyBorder="1">
      <alignment vertical="center"/>
    </xf>
    <xf numFmtId="178" fontId="0" fillId="0" borderId="68" xfId="0" applyNumberFormat="1" applyBorder="1" applyAlignment="1">
      <alignment horizontal="center" vertical="center"/>
    </xf>
    <xf numFmtId="178" fontId="17" fillId="12" borderId="17" xfId="0" applyNumberFormat="1" applyFont="1" applyFill="1" applyBorder="1" applyAlignment="1">
      <alignment horizontal="right" vertical="center"/>
    </xf>
    <xf numFmtId="178" fontId="17" fillId="12" borderId="0" xfId="0" applyNumberFormat="1" applyFont="1" applyFill="1" applyBorder="1" applyAlignment="1">
      <alignment horizontal="right" vertical="center"/>
    </xf>
    <xf numFmtId="178" fontId="17" fillId="12" borderId="83" xfId="0" applyNumberFormat="1" applyFont="1" applyFill="1" applyBorder="1" applyAlignment="1">
      <alignment horizontal="right" vertical="center"/>
    </xf>
    <xf numFmtId="178" fontId="17" fillId="12" borderId="4" xfId="0" applyNumberFormat="1" applyFont="1" applyFill="1" applyBorder="1" applyAlignment="1">
      <alignment horizontal="right" vertical="center"/>
    </xf>
    <xf numFmtId="178" fontId="17" fillId="12" borderId="69" xfId="0" applyNumberFormat="1" applyFont="1" applyFill="1" applyBorder="1" applyAlignment="1">
      <alignment horizontal="center" vertical="center"/>
    </xf>
    <xf numFmtId="178" fontId="17" fillId="12" borderId="44" xfId="0" applyNumberFormat="1" applyFont="1" applyFill="1" applyBorder="1" applyAlignment="1">
      <alignment horizontal="right" vertical="center"/>
    </xf>
    <xf numFmtId="178" fontId="17" fillId="12" borderId="81" xfId="0" applyNumberFormat="1" applyFont="1" applyFill="1" applyBorder="1" applyAlignment="1">
      <alignment horizontal="right" vertical="center"/>
    </xf>
    <xf numFmtId="178" fontId="17" fillId="12" borderId="88" xfId="0" applyNumberFormat="1" applyFont="1" applyFill="1" applyBorder="1" applyAlignment="1">
      <alignment horizontal="right" vertical="center"/>
    </xf>
    <xf numFmtId="178" fontId="17" fillId="12" borderId="80" xfId="0" applyNumberFormat="1" applyFont="1" applyFill="1" applyBorder="1" applyAlignment="1">
      <alignment horizontal="right" vertical="center"/>
    </xf>
    <xf numFmtId="178" fontId="17" fillId="12" borderId="89" xfId="0" applyNumberFormat="1" applyFont="1" applyFill="1" applyBorder="1" applyAlignment="1">
      <alignment horizontal="center" vertical="center"/>
    </xf>
    <xf numFmtId="178" fontId="17" fillId="12" borderId="30" xfId="0" applyNumberFormat="1" applyFont="1" applyFill="1" applyBorder="1" applyAlignment="1">
      <alignment horizontal="right" vertical="center"/>
    </xf>
    <xf numFmtId="178" fontId="17" fillId="12" borderId="2" xfId="0" applyNumberFormat="1" applyFont="1" applyFill="1" applyBorder="1" applyAlignment="1">
      <alignment horizontal="right" vertical="center"/>
    </xf>
    <xf numFmtId="178" fontId="17" fillId="12" borderId="87" xfId="0" applyNumberFormat="1" applyFont="1" applyFill="1" applyBorder="1" applyAlignment="1">
      <alignment horizontal="right" vertical="center"/>
    </xf>
    <xf numFmtId="178" fontId="17" fillId="12" borderId="1" xfId="0" applyNumberFormat="1" applyFont="1" applyFill="1" applyBorder="1" applyAlignment="1">
      <alignment horizontal="right" vertical="center"/>
    </xf>
    <xf numFmtId="178" fontId="17" fillId="12" borderId="68" xfId="0" applyNumberFormat="1" applyFont="1" applyFill="1" applyBorder="1" applyAlignment="1">
      <alignment horizontal="center" vertical="center"/>
    </xf>
    <xf numFmtId="178" fontId="18" fillId="13" borderId="90" xfId="0" applyNumberFormat="1" applyFont="1" applyFill="1" applyBorder="1" applyAlignment="1">
      <alignment horizontal="right" vertical="center"/>
    </xf>
    <xf numFmtId="178" fontId="18" fillId="13" borderId="67" xfId="0" applyNumberFormat="1" applyFont="1" applyFill="1" applyBorder="1" applyAlignment="1">
      <alignment horizontal="right" vertical="center"/>
    </xf>
    <xf numFmtId="178" fontId="18" fillId="13" borderId="91" xfId="0" applyNumberFormat="1" applyFont="1" applyFill="1" applyBorder="1" applyAlignment="1">
      <alignment horizontal="right" vertical="center"/>
    </xf>
    <xf numFmtId="178" fontId="18" fillId="13" borderId="48" xfId="0" applyNumberFormat="1" applyFont="1" applyFill="1" applyBorder="1" applyAlignment="1">
      <alignment horizontal="right" vertical="center"/>
    </xf>
    <xf numFmtId="178" fontId="18" fillId="13" borderId="92" xfId="0" applyNumberFormat="1" applyFont="1" applyFill="1" applyBorder="1" applyAlignment="1">
      <alignment horizontal="right" vertical="center"/>
    </xf>
    <xf numFmtId="178" fontId="18" fillId="13" borderId="65" xfId="0" applyNumberFormat="1" applyFont="1" applyFill="1" applyBorder="1" applyAlignment="1">
      <alignment horizontal="center" vertical="center"/>
    </xf>
    <xf numFmtId="178" fontId="16" fillId="14" borderId="11" xfId="0" applyNumberFormat="1" applyFont="1" applyFill="1" applyBorder="1" applyAlignment="1">
      <alignment horizontal="centerContinuous" vertical="center"/>
    </xf>
    <xf numFmtId="178" fontId="16" fillId="14" borderId="64" xfId="0" applyNumberFormat="1" applyFont="1" applyFill="1" applyBorder="1" applyAlignment="1">
      <alignment horizontal="centerContinuous" vertical="center"/>
    </xf>
    <xf numFmtId="178" fontId="16" fillId="14" borderId="93" xfId="0" applyNumberFormat="1" applyFont="1" applyFill="1" applyBorder="1" applyAlignment="1">
      <alignment horizontal="centerContinuous" vertical="center"/>
    </xf>
    <xf numFmtId="178" fontId="16" fillId="14" borderId="71" xfId="0" applyNumberFormat="1" applyFont="1" applyFill="1" applyBorder="1" applyAlignment="1">
      <alignment horizontal="centerContinuous" vertical="center"/>
    </xf>
    <xf numFmtId="178" fontId="16" fillId="14" borderId="50" xfId="0" applyNumberFormat="1" applyFont="1" applyFill="1" applyBorder="1" applyAlignment="1">
      <alignment horizontal="centerContinuous" vertical="center"/>
    </xf>
    <xf numFmtId="178" fontId="16" fillId="14" borderId="3" xfId="0" applyNumberFormat="1" applyFont="1" applyFill="1" applyBorder="1" applyAlignment="1">
      <alignment horizontal="centerContinuous" vertical="center"/>
    </xf>
    <xf numFmtId="178" fontId="16" fillId="14" borderId="2" xfId="0" applyNumberFormat="1" applyFont="1" applyFill="1" applyBorder="1" applyAlignment="1">
      <alignment horizontal="centerContinuous" vertical="center"/>
    </xf>
    <xf numFmtId="178" fontId="16" fillId="14" borderId="1" xfId="0" applyNumberFormat="1" applyFont="1" applyFill="1" applyBorder="1" applyAlignment="1">
      <alignment horizontal="centerContinuous" vertical="center"/>
    </xf>
    <xf numFmtId="178" fontId="0" fillId="0" borderId="0" xfId="0" applyNumberFormat="1" applyAlignment="1">
      <alignment horizontal="right" vertical="center"/>
    </xf>
    <xf numFmtId="178" fontId="19" fillId="0" borderId="0" xfId="0" applyNumberFormat="1" applyFont="1">
      <alignment vertical="center"/>
    </xf>
    <xf numFmtId="178" fontId="0" fillId="0" borderId="8" xfId="0" applyNumberFormat="1" applyBorder="1" applyAlignment="1">
      <alignment horizontal="right" vertical="center"/>
    </xf>
    <xf numFmtId="178" fontId="2" fillId="0" borderId="94" xfId="0" applyNumberFormat="1" applyFont="1" applyBorder="1" applyAlignment="1">
      <alignment horizontal="right" vertical="center"/>
    </xf>
    <xf numFmtId="178" fontId="0" fillId="0" borderId="6" xfId="0" applyNumberFormat="1" applyBorder="1" applyAlignment="1">
      <alignment horizontal="right" vertical="center"/>
    </xf>
    <xf numFmtId="178" fontId="0" fillId="0" borderId="5" xfId="0" applyNumberFormat="1" applyBorder="1" applyAlignment="1">
      <alignment horizontal="right" vertical="center"/>
    </xf>
    <xf numFmtId="178" fontId="2" fillId="0" borderId="83" xfId="0" applyNumberFormat="1" applyFont="1" applyBorder="1" applyAlignment="1">
      <alignment horizontal="right" vertical="center"/>
    </xf>
    <xf numFmtId="178" fontId="0" fillId="0" borderId="4" xfId="0" applyNumberFormat="1" applyBorder="1" applyAlignment="1">
      <alignment horizontal="right" vertical="center"/>
    </xf>
    <xf numFmtId="178" fontId="0" fillId="0" borderId="54" xfId="0" applyNumberFormat="1" applyBorder="1" applyAlignment="1">
      <alignment horizontal="right" vertical="center"/>
    </xf>
    <xf numFmtId="178" fontId="2" fillId="0" borderId="84" xfId="0" applyNumberFormat="1" applyFont="1" applyBorder="1" applyAlignment="1">
      <alignment horizontal="right" vertical="center"/>
    </xf>
    <xf numFmtId="178" fontId="0" fillId="0" borderId="18" xfId="0" applyNumberFormat="1" applyBorder="1" applyAlignment="1">
      <alignment horizontal="right" vertical="center"/>
    </xf>
    <xf numFmtId="178" fontId="0" fillId="0" borderId="18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right" vertical="center"/>
    </xf>
    <xf numFmtId="178" fontId="2" fillId="0" borderId="87" xfId="0" applyNumberFormat="1" applyFon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0" fillId="0" borderId="1" xfId="0" applyNumberFormat="1" applyBorder="1" applyAlignment="1">
      <alignment horizontal="center" vertical="center"/>
    </xf>
    <xf numFmtId="178" fontId="17" fillId="12" borderId="5" xfId="0" applyNumberFormat="1" applyFont="1" applyFill="1" applyBorder="1" applyAlignment="1">
      <alignment horizontal="right" vertical="center"/>
    </xf>
    <xf numFmtId="178" fontId="17" fillId="12" borderId="52" xfId="0" applyNumberFormat="1" applyFont="1" applyFill="1" applyBorder="1" applyAlignment="1">
      <alignment horizontal="right" vertical="center"/>
    </xf>
    <xf numFmtId="178" fontId="17" fillId="12" borderId="3" xfId="0" applyNumberFormat="1" applyFont="1" applyFill="1" applyBorder="1" applyAlignment="1">
      <alignment horizontal="right" vertical="center"/>
    </xf>
    <xf numFmtId="178" fontId="18" fillId="13" borderId="55" xfId="0" applyNumberFormat="1" applyFont="1" applyFill="1" applyBorder="1" applyAlignment="1">
      <alignment horizontal="right" vertical="center"/>
    </xf>
    <xf numFmtId="178" fontId="0" fillId="0" borderId="8" xfId="1" applyNumberFormat="1" applyFont="1" applyBorder="1">
      <alignment vertical="center"/>
    </xf>
    <xf numFmtId="178" fontId="2" fillId="0" borderId="94" xfId="1" applyNumberFormat="1" applyFont="1" applyBorder="1">
      <alignment vertical="center"/>
    </xf>
    <xf numFmtId="178" fontId="0" fillId="0" borderId="6" xfId="1" applyNumberFormat="1" applyFont="1" applyBorder="1">
      <alignment vertical="center"/>
    </xf>
    <xf numFmtId="178" fontId="0" fillId="0" borderId="5" xfId="1" applyNumberFormat="1" applyFont="1" applyBorder="1">
      <alignment vertical="center"/>
    </xf>
    <xf numFmtId="178" fontId="2" fillId="0" borderId="83" xfId="1" applyNumberFormat="1" applyFont="1" applyBorder="1">
      <alignment vertical="center"/>
    </xf>
    <xf numFmtId="178" fontId="0" fillId="0" borderId="4" xfId="1" applyNumberFormat="1" applyFont="1" applyBorder="1">
      <alignment vertical="center"/>
    </xf>
    <xf numFmtId="178" fontId="0" fillId="0" borderId="54" xfId="1" applyNumberFormat="1" applyFont="1" applyBorder="1">
      <alignment vertical="center"/>
    </xf>
    <xf numFmtId="178" fontId="2" fillId="0" borderId="84" xfId="1" applyNumberFormat="1" applyFont="1" applyBorder="1">
      <alignment vertical="center"/>
    </xf>
    <xf numFmtId="178" fontId="0" fillId="0" borderId="18" xfId="1" applyNumberFormat="1" applyFont="1" applyBorder="1">
      <alignment vertical="center"/>
    </xf>
    <xf numFmtId="178" fontId="0" fillId="0" borderId="0" xfId="0" quotePrefix="1" applyNumberFormat="1">
      <alignment vertical="center"/>
    </xf>
    <xf numFmtId="178" fontId="0" fillId="0" borderId="3" xfId="1" applyNumberFormat="1" applyFont="1" applyBorder="1">
      <alignment vertical="center"/>
    </xf>
    <xf numFmtId="178" fontId="2" fillId="0" borderId="87" xfId="1" applyNumberFormat="1" applyFont="1" applyBorder="1">
      <alignment vertical="center"/>
    </xf>
    <xf numFmtId="178" fontId="0" fillId="0" borderId="1" xfId="1" applyNumberFormat="1" applyFont="1" applyBorder="1">
      <alignment vertical="center"/>
    </xf>
    <xf numFmtId="178" fontId="17" fillId="12" borderId="5" xfId="1" applyNumberFormat="1" applyFont="1" applyFill="1" applyBorder="1" applyAlignment="1">
      <alignment horizontal="right" vertical="center"/>
    </xf>
    <xf numFmtId="178" fontId="17" fillId="12" borderId="83" xfId="1" applyNumberFormat="1" applyFont="1" applyFill="1" applyBorder="1" applyAlignment="1">
      <alignment horizontal="right" vertical="center"/>
    </xf>
    <xf numFmtId="178" fontId="17" fillId="12" borderId="4" xfId="1" applyNumberFormat="1" applyFont="1" applyFill="1" applyBorder="1" applyAlignment="1">
      <alignment horizontal="right" vertical="center"/>
    </xf>
    <xf numFmtId="178" fontId="17" fillId="12" borderId="52" xfId="1" applyNumberFormat="1" applyFont="1" applyFill="1" applyBorder="1" applyAlignment="1">
      <alignment horizontal="right" vertical="center"/>
    </xf>
    <xf numFmtId="178" fontId="17" fillId="12" borderId="88" xfId="1" applyNumberFormat="1" applyFont="1" applyFill="1" applyBorder="1" applyAlignment="1">
      <alignment horizontal="right" vertical="center"/>
    </xf>
    <xf numFmtId="178" fontId="17" fillId="12" borderId="80" xfId="1" applyNumberFormat="1" applyFont="1" applyFill="1" applyBorder="1" applyAlignment="1">
      <alignment horizontal="right" vertical="center"/>
    </xf>
    <xf numFmtId="178" fontId="17" fillId="12" borderId="3" xfId="1" applyNumberFormat="1" applyFont="1" applyFill="1" applyBorder="1" applyAlignment="1">
      <alignment horizontal="right" vertical="center"/>
    </xf>
    <xf numFmtId="178" fontId="17" fillId="12" borderId="87" xfId="1" applyNumberFormat="1" applyFont="1" applyFill="1" applyBorder="1" applyAlignment="1">
      <alignment horizontal="right" vertical="center"/>
    </xf>
    <xf numFmtId="178" fontId="17" fillId="12" borderId="1" xfId="1" applyNumberFormat="1" applyFont="1" applyFill="1" applyBorder="1" applyAlignment="1">
      <alignment horizontal="right" vertical="center"/>
    </xf>
    <xf numFmtId="178" fontId="18" fillId="13" borderId="55" xfId="1" applyNumberFormat="1" applyFont="1" applyFill="1" applyBorder="1" applyAlignment="1">
      <alignment horizontal="right" vertical="center"/>
    </xf>
    <xf numFmtId="178" fontId="18" fillId="13" borderId="91" xfId="1" applyNumberFormat="1" applyFont="1" applyFill="1" applyBorder="1" applyAlignment="1">
      <alignment horizontal="right" vertical="center"/>
    </xf>
    <xf numFmtId="178" fontId="18" fillId="13" borderId="48" xfId="1" applyNumberFormat="1" applyFont="1" applyFill="1" applyBorder="1" applyAlignment="1">
      <alignment horizontal="right" vertical="center"/>
    </xf>
    <xf numFmtId="179" fontId="0" fillId="0" borderId="8" xfId="0" applyNumberFormat="1" applyBorder="1">
      <alignment vertical="center"/>
    </xf>
    <xf numFmtId="179" fontId="2" fillId="0" borderId="94" xfId="0" applyNumberFormat="1" applyFont="1" applyBorder="1">
      <alignment vertical="center"/>
    </xf>
    <xf numFmtId="179" fontId="0" fillId="0" borderId="6" xfId="0" applyNumberFormat="1" applyBorder="1">
      <alignment vertical="center"/>
    </xf>
    <xf numFmtId="178" fontId="2" fillId="0" borderId="94" xfId="0" applyNumberFormat="1" applyFont="1" applyBorder="1">
      <alignment vertical="center"/>
    </xf>
    <xf numFmtId="9" fontId="0" fillId="0" borderId="8" xfId="0" applyNumberFormat="1" applyBorder="1">
      <alignment vertical="center"/>
    </xf>
    <xf numFmtId="9" fontId="2" fillId="0" borderId="94" xfId="0" applyNumberFormat="1" applyFont="1" applyBorder="1">
      <alignment vertical="center"/>
    </xf>
    <xf numFmtId="9" fontId="0" fillId="0" borderId="6" xfId="0" applyNumberFormat="1" applyBorder="1">
      <alignment vertical="center"/>
    </xf>
    <xf numFmtId="179" fontId="0" fillId="0" borderId="5" xfId="0" applyNumberFormat="1" applyBorder="1">
      <alignment vertical="center"/>
    </xf>
    <xf numFmtId="179" fontId="2" fillId="0" borderId="83" xfId="0" applyNumberFormat="1" applyFont="1" applyBorder="1">
      <alignment vertical="center"/>
    </xf>
    <xf numFmtId="179" fontId="0" fillId="0" borderId="4" xfId="0" applyNumberFormat="1" applyBorder="1">
      <alignment vertical="center"/>
    </xf>
    <xf numFmtId="9" fontId="0" fillId="0" borderId="5" xfId="0" applyNumberFormat="1" applyBorder="1">
      <alignment vertical="center"/>
    </xf>
    <xf numFmtId="9" fontId="2" fillId="0" borderId="83" xfId="0" applyNumberFormat="1" applyFont="1" applyBorder="1">
      <alignment vertical="center"/>
    </xf>
    <xf numFmtId="9" fontId="0" fillId="0" borderId="4" xfId="0" applyNumberFormat="1" applyBorder="1">
      <alignment vertical="center"/>
    </xf>
    <xf numFmtId="179" fontId="0" fillId="0" borderId="54" xfId="0" applyNumberFormat="1" applyBorder="1">
      <alignment vertical="center"/>
    </xf>
    <xf numFmtId="179" fontId="2" fillId="0" borderId="84" xfId="0" applyNumberFormat="1" applyFont="1" applyBorder="1">
      <alignment vertical="center"/>
    </xf>
    <xf numFmtId="179" fontId="0" fillId="0" borderId="18" xfId="0" applyNumberFormat="1" applyBorder="1">
      <alignment vertical="center"/>
    </xf>
    <xf numFmtId="9" fontId="0" fillId="0" borderId="54" xfId="0" applyNumberFormat="1" applyBorder="1">
      <alignment vertical="center"/>
    </xf>
    <xf numFmtId="9" fontId="2" fillId="0" borderId="84" xfId="0" applyNumberFormat="1" applyFont="1" applyBorder="1">
      <alignment vertical="center"/>
    </xf>
    <xf numFmtId="9" fontId="0" fillId="0" borderId="18" xfId="0" applyNumberFormat="1" applyBorder="1">
      <alignment vertical="center"/>
    </xf>
    <xf numFmtId="179" fontId="0" fillId="0" borderId="3" xfId="0" applyNumberFormat="1" applyBorder="1">
      <alignment vertical="center"/>
    </xf>
    <xf numFmtId="179" fontId="2" fillId="0" borderId="87" xfId="0" applyNumberFormat="1" applyFont="1" applyBorder="1">
      <alignment vertical="center"/>
    </xf>
    <xf numFmtId="179" fontId="0" fillId="0" borderId="1" xfId="0" applyNumberFormat="1" applyBorder="1">
      <alignment vertical="center"/>
    </xf>
    <xf numFmtId="9" fontId="0" fillId="0" borderId="3" xfId="0" applyNumberFormat="1" applyBorder="1">
      <alignment vertical="center"/>
    </xf>
    <xf numFmtId="9" fontId="2" fillId="0" borderId="87" xfId="0" applyNumberFormat="1" applyFont="1" applyBorder="1">
      <alignment vertical="center"/>
    </xf>
    <xf numFmtId="9" fontId="0" fillId="0" borderId="1" xfId="0" applyNumberFormat="1" applyBorder="1">
      <alignment vertical="center"/>
    </xf>
    <xf numFmtId="9" fontId="17" fillId="12" borderId="5" xfId="0" applyNumberFormat="1" applyFont="1" applyFill="1" applyBorder="1" applyAlignment="1">
      <alignment horizontal="right" vertical="center"/>
    </xf>
    <xf numFmtId="9" fontId="17" fillId="12" borderId="83" xfId="0" applyNumberFormat="1" applyFont="1" applyFill="1" applyBorder="1" applyAlignment="1">
      <alignment horizontal="right" vertical="center"/>
    </xf>
    <xf numFmtId="9" fontId="17" fillId="12" borderId="4" xfId="0" applyNumberFormat="1" applyFont="1" applyFill="1" applyBorder="1" applyAlignment="1">
      <alignment horizontal="right" vertical="center"/>
    </xf>
    <xf numFmtId="9" fontId="17" fillId="12" borderId="52" xfId="0" applyNumberFormat="1" applyFont="1" applyFill="1" applyBorder="1" applyAlignment="1">
      <alignment horizontal="right" vertical="center"/>
    </xf>
    <xf numFmtId="9" fontId="17" fillId="12" borderId="88" xfId="0" applyNumberFormat="1" applyFont="1" applyFill="1" applyBorder="1" applyAlignment="1">
      <alignment horizontal="right" vertical="center"/>
    </xf>
    <xf numFmtId="9" fontId="17" fillId="12" borderId="80" xfId="0" applyNumberFormat="1" applyFont="1" applyFill="1" applyBorder="1" applyAlignment="1">
      <alignment horizontal="right" vertical="center"/>
    </xf>
    <xf numFmtId="9" fontId="17" fillId="12" borderId="3" xfId="0" applyNumberFormat="1" applyFont="1" applyFill="1" applyBorder="1" applyAlignment="1">
      <alignment horizontal="right" vertical="center"/>
    </xf>
    <xf numFmtId="9" fontId="17" fillId="12" borderId="87" xfId="0" applyNumberFormat="1" applyFont="1" applyFill="1" applyBorder="1" applyAlignment="1">
      <alignment horizontal="right" vertical="center"/>
    </xf>
    <xf numFmtId="9" fontId="17" fillId="12" borderId="1" xfId="0" applyNumberFormat="1" applyFont="1" applyFill="1" applyBorder="1" applyAlignment="1">
      <alignment horizontal="right" vertical="center"/>
    </xf>
    <xf numFmtId="9" fontId="18" fillId="13" borderId="55" xfId="0" applyNumberFormat="1" applyFont="1" applyFill="1" applyBorder="1" applyAlignment="1">
      <alignment horizontal="right" vertical="center"/>
    </xf>
    <xf numFmtId="9" fontId="18" fillId="13" borderId="91" xfId="0" applyNumberFormat="1" applyFont="1" applyFill="1" applyBorder="1" applyAlignment="1">
      <alignment horizontal="right" vertical="center"/>
    </xf>
    <xf numFmtId="9" fontId="18" fillId="13" borderId="48" xfId="0" applyNumberFormat="1" applyFont="1" applyFill="1" applyBorder="1" applyAlignment="1">
      <alignment horizontal="right" vertical="center"/>
    </xf>
    <xf numFmtId="178" fontId="2" fillId="9" borderId="4" xfId="1" applyNumberFormat="1" applyFont="1" applyFill="1" applyBorder="1" applyAlignment="1">
      <alignment vertical="center"/>
    </xf>
    <xf numFmtId="178" fontId="0" fillId="0" borderId="0" xfId="0" applyNumberFormat="1" applyFont="1" applyFill="1" applyBorder="1">
      <alignment vertical="center"/>
    </xf>
    <xf numFmtId="178" fontId="20" fillId="0" borderId="0" xfId="0" applyNumberFormat="1" applyFont="1">
      <alignment vertical="center"/>
    </xf>
    <xf numFmtId="178" fontId="20" fillId="9" borderId="4" xfId="1" applyNumberFormat="1" applyFont="1" applyFill="1" applyBorder="1" applyAlignment="1">
      <alignment vertical="center"/>
    </xf>
    <xf numFmtId="9" fontId="2" fillId="0" borderId="0" xfId="0" applyNumberFormat="1" applyFont="1">
      <alignment vertical="center"/>
    </xf>
    <xf numFmtId="3" fontId="0" fillId="0" borderId="0" xfId="0" applyNumberFormat="1" applyFont="1">
      <alignment vertical="center"/>
    </xf>
    <xf numFmtId="3" fontId="0" fillId="0" borderId="0" xfId="1" applyNumberFormat="1" applyFont="1">
      <alignment vertical="center"/>
    </xf>
    <xf numFmtId="3" fontId="2" fillId="0" borderId="0" xfId="0" applyNumberFormat="1" applyFont="1">
      <alignment vertical="center"/>
    </xf>
    <xf numFmtId="3" fontId="0" fillId="0" borderId="0" xfId="0" applyNumberFormat="1" applyFont="1" applyAlignment="1">
      <alignment vertical="center"/>
    </xf>
    <xf numFmtId="183" fontId="0" fillId="0" borderId="0" xfId="0" applyNumberFormat="1" applyFont="1">
      <alignment vertical="center"/>
    </xf>
    <xf numFmtId="184" fontId="2" fillId="0" borderId="0" xfId="0" applyNumberFormat="1" applyFont="1">
      <alignment vertical="center"/>
    </xf>
    <xf numFmtId="185" fontId="0" fillId="0" borderId="0" xfId="0" applyNumberFormat="1" applyFont="1">
      <alignment vertical="center"/>
    </xf>
    <xf numFmtId="4" fontId="6" fillId="0" borderId="0" xfId="1" applyNumberFormat="1" applyFont="1" applyFill="1" applyBorder="1" applyAlignment="1">
      <alignment vertical="center"/>
    </xf>
    <xf numFmtId="3" fontId="0" fillId="0" borderId="0" xfId="0" applyNumberFormat="1">
      <alignment vertical="center"/>
    </xf>
    <xf numFmtId="186" fontId="6" fillId="0" borderId="0" xfId="1" applyNumberFormat="1" applyFont="1">
      <alignment vertical="center"/>
    </xf>
    <xf numFmtId="186" fontId="0" fillId="0" borderId="0" xfId="0" applyNumberFormat="1" applyFont="1">
      <alignment vertical="center"/>
    </xf>
    <xf numFmtId="9" fontId="0" fillId="0" borderId="0" xfId="0" applyNumberFormat="1" applyFont="1">
      <alignment vertical="center"/>
    </xf>
    <xf numFmtId="178" fontId="6" fillId="9" borderId="4" xfId="1" quotePrefix="1" applyNumberFormat="1" applyFont="1" applyFill="1" applyBorder="1" applyAlignment="1">
      <alignment vertical="center"/>
    </xf>
    <xf numFmtId="178" fontId="20" fillId="9" borderId="4" xfId="1" quotePrefix="1" applyNumberFormat="1" applyFont="1" applyFill="1" applyBorder="1" applyAlignment="1">
      <alignment vertical="center"/>
    </xf>
    <xf numFmtId="178" fontId="6" fillId="0" borderId="2" xfId="1" applyNumberFormat="1" applyFont="1" applyFill="1" applyBorder="1" applyAlignment="1">
      <alignment vertical="center"/>
    </xf>
    <xf numFmtId="179" fontId="6" fillId="0" borderId="2" xfId="1" applyNumberFormat="1" applyFont="1" applyFill="1" applyBorder="1" applyAlignment="1">
      <alignment vertical="center"/>
    </xf>
    <xf numFmtId="178" fontId="0" fillId="0" borderId="0" xfId="0" applyNumberFormat="1" applyFill="1" applyBorder="1">
      <alignment vertical="center"/>
    </xf>
    <xf numFmtId="178" fontId="21" fillId="0" borderId="0" xfId="0" applyNumberFormat="1" applyFont="1">
      <alignment vertical="center"/>
    </xf>
    <xf numFmtId="178" fontId="16" fillId="0" borderId="0" xfId="0" applyNumberFormat="1" applyFont="1" applyFill="1" applyBorder="1" applyAlignment="1">
      <alignment vertical="center"/>
    </xf>
    <xf numFmtId="0" fontId="14" fillId="6" borderId="98" xfId="0" applyFont="1" applyFill="1" applyBorder="1" applyAlignment="1">
      <alignment horizontal="centerContinuous" vertical="center"/>
    </xf>
    <xf numFmtId="0" fontId="14" fillId="6" borderId="65" xfId="0" applyFont="1" applyFill="1" applyBorder="1" applyAlignment="1">
      <alignment horizontal="centerContinuous" vertical="center"/>
    </xf>
    <xf numFmtId="0" fontId="14" fillId="6" borderId="67" xfId="0" applyFont="1" applyFill="1" applyBorder="1" applyAlignment="1">
      <alignment horizontal="centerContinuous" vertical="center"/>
    </xf>
    <xf numFmtId="0" fontId="14" fillId="6" borderId="99" xfId="0" applyFont="1" applyFill="1" applyBorder="1" applyAlignment="1">
      <alignment horizontal="centerContinuous" vertical="center"/>
    </xf>
    <xf numFmtId="0" fontId="14" fillId="6" borderId="55" xfId="0" applyFont="1" applyFill="1" applyBorder="1" applyAlignment="1">
      <alignment horizontal="centerContinuous" vertical="center"/>
    </xf>
    <xf numFmtId="178" fontId="2" fillId="0" borderId="1" xfId="0" applyNumberFormat="1" applyFont="1" applyBorder="1" applyAlignment="1">
      <alignment horizontal="centerContinuous" vertical="center"/>
    </xf>
    <xf numFmtId="178" fontId="2" fillId="0" borderId="27" xfId="0" applyNumberFormat="1" applyFont="1" applyBorder="1" applyAlignment="1">
      <alignment horizontal="centerContinuous" vertical="center"/>
    </xf>
    <xf numFmtId="178" fontId="6" fillId="0" borderId="100" xfId="0" applyNumberFormat="1" applyFont="1" applyBorder="1">
      <alignment vertical="center"/>
    </xf>
    <xf numFmtId="178" fontId="6" fillId="0" borderId="68" xfId="0" applyNumberFormat="1" applyFont="1" applyBorder="1">
      <alignment vertical="center"/>
    </xf>
    <xf numFmtId="178" fontId="6" fillId="0" borderId="2" xfId="0" applyNumberFormat="1" applyFont="1" applyBorder="1">
      <alignment vertical="center"/>
    </xf>
    <xf numFmtId="178" fontId="6" fillId="0" borderId="101" xfId="0" applyNumberFormat="1" applyFont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6" xfId="0" applyNumberFormat="1" applyFont="1" applyBorder="1" applyAlignment="1">
      <alignment horizontal="centerContinuous" vertical="center"/>
    </xf>
    <xf numFmtId="178" fontId="2" fillId="0" borderId="102" xfId="0" applyNumberFormat="1" applyFont="1" applyBorder="1" applyAlignment="1">
      <alignment horizontal="centerContinuous" vertical="center"/>
    </xf>
    <xf numFmtId="178" fontId="6" fillId="0" borderId="103" xfId="0" applyNumberFormat="1" applyFont="1" applyBorder="1">
      <alignment vertical="center"/>
    </xf>
    <xf numFmtId="178" fontId="6" fillId="0" borderId="70" xfId="0" applyNumberFormat="1" applyFont="1" applyBorder="1">
      <alignment vertical="center"/>
    </xf>
    <xf numFmtId="178" fontId="6" fillId="0" borderId="7" xfId="0" applyNumberFormat="1" applyFont="1" applyBorder="1">
      <alignment vertical="center"/>
    </xf>
    <xf numFmtId="178" fontId="6" fillId="0" borderId="104" xfId="0" applyNumberFormat="1" applyFont="1" applyBorder="1">
      <alignment vertical="center"/>
    </xf>
    <xf numFmtId="178" fontId="2" fillId="0" borderId="4" xfId="0" applyNumberFormat="1" applyFont="1" applyBorder="1" applyAlignment="1">
      <alignment horizontal="centerContinuous" vertical="center"/>
    </xf>
    <xf numFmtId="178" fontId="2" fillId="0" borderId="31" xfId="0" applyNumberFormat="1" applyFont="1" applyBorder="1" applyAlignment="1">
      <alignment horizontal="centerContinuous" vertical="center"/>
    </xf>
    <xf numFmtId="178" fontId="6" fillId="0" borderId="105" xfId="0" applyNumberFormat="1" applyFont="1" applyBorder="1">
      <alignment vertical="center"/>
    </xf>
    <xf numFmtId="178" fontId="6" fillId="0" borderId="69" xfId="0" applyNumberFormat="1" applyFont="1" applyBorder="1">
      <alignment vertical="center"/>
    </xf>
    <xf numFmtId="178" fontId="6" fillId="0" borderId="0" xfId="0" applyNumberFormat="1" applyFont="1" applyBorder="1">
      <alignment vertical="center"/>
    </xf>
    <xf numFmtId="178" fontId="6" fillId="0" borderId="106" xfId="0" applyNumberFormat="1" applyFont="1" applyBorder="1">
      <alignment vertical="center"/>
    </xf>
    <xf numFmtId="178" fontId="2" fillId="0" borderId="33" xfId="0" applyNumberFormat="1" applyFont="1" applyBorder="1" applyAlignment="1">
      <alignment horizontal="centerContinuous" vertical="center"/>
    </xf>
    <xf numFmtId="178" fontId="6" fillId="0" borderId="107" xfId="0" applyNumberFormat="1" applyFont="1" applyBorder="1">
      <alignment vertical="center"/>
    </xf>
    <xf numFmtId="178" fontId="6" fillId="0" borderId="108" xfId="0" applyNumberFormat="1" applyFont="1" applyBorder="1">
      <alignment vertical="center"/>
    </xf>
    <xf numFmtId="178" fontId="6" fillId="0" borderId="23" xfId="0" applyNumberFormat="1" applyFont="1" applyBorder="1">
      <alignment vertical="center"/>
    </xf>
    <xf numFmtId="178" fontId="6" fillId="0" borderId="109" xfId="0" applyNumberFormat="1" applyFont="1" applyBorder="1">
      <alignment vertical="center"/>
    </xf>
    <xf numFmtId="178" fontId="2" fillId="0" borderId="66" xfId="0" applyNumberFormat="1" applyFont="1" applyBorder="1" applyAlignment="1">
      <alignment horizontal="centerContinuous" vertical="center"/>
    </xf>
    <xf numFmtId="178" fontId="6" fillId="0" borderId="110" xfId="0" applyNumberFormat="1" applyFont="1" applyBorder="1">
      <alignment vertical="center"/>
    </xf>
    <xf numFmtId="178" fontId="6" fillId="0" borderId="85" xfId="0" applyNumberFormat="1" applyFont="1" applyBorder="1">
      <alignment vertical="center"/>
    </xf>
    <xf numFmtId="178" fontId="6" fillId="0" borderId="111" xfId="0" applyNumberFormat="1" applyFont="1" applyBorder="1">
      <alignment vertical="center"/>
    </xf>
    <xf numFmtId="178" fontId="2" fillId="0" borderId="64" xfId="0" applyNumberFormat="1" applyFont="1" applyBorder="1" applyAlignment="1">
      <alignment horizontal="centerContinuous" vertical="center"/>
    </xf>
    <xf numFmtId="178" fontId="6" fillId="0" borderId="112" xfId="0" applyNumberFormat="1" applyFont="1" applyBorder="1">
      <alignment vertical="center"/>
    </xf>
    <xf numFmtId="178" fontId="6" fillId="0" borderId="73" xfId="0" applyNumberFormat="1" applyFont="1" applyBorder="1">
      <alignment vertical="center"/>
    </xf>
    <xf numFmtId="178" fontId="6" fillId="0" borderId="64" xfId="0" applyNumberFormat="1" applyFont="1" applyBorder="1">
      <alignment vertical="center"/>
    </xf>
    <xf numFmtId="178" fontId="6" fillId="0" borderId="113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right" vertical="center"/>
    </xf>
    <xf numFmtId="177" fontId="6" fillId="0" borderId="105" xfId="0" applyNumberFormat="1" applyFont="1" applyBorder="1">
      <alignment vertical="center"/>
    </xf>
    <xf numFmtId="177" fontId="6" fillId="0" borderId="69" xfId="0" applyNumberFormat="1" applyFont="1" applyBorder="1">
      <alignment vertical="center"/>
    </xf>
    <xf numFmtId="177" fontId="6" fillId="0" borderId="0" xfId="0" applyNumberFormat="1" applyFont="1" applyBorder="1">
      <alignment vertical="center"/>
    </xf>
    <xf numFmtId="177" fontId="6" fillId="0" borderId="106" xfId="0" applyNumberFormat="1" applyFont="1" applyBorder="1">
      <alignment vertical="center"/>
    </xf>
    <xf numFmtId="178" fontId="2" fillId="0" borderId="32" xfId="0" applyNumberFormat="1" applyFont="1" applyBorder="1" applyAlignment="1">
      <alignment horizontal="centerContinuous" vertical="center"/>
    </xf>
    <xf numFmtId="178" fontId="2" fillId="0" borderId="33" xfId="0" applyNumberFormat="1" applyFont="1" applyBorder="1" applyAlignment="1">
      <alignment horizontal="right" vertical="center"/>
    </xf>
    <xf numFmtId="177" fontId="6" fillId="0" borderId="107" xfId="0" applyNumberFormat="1" applyFont="1" applyBorder="1">
      <alignment vertical="center"/>
    </xf>
    <xf numFmtId="177" fontId="6" fillId="0" borderId="108" xfId="0" applyNumberFormat="1" applyFont="1" applyBorder="1">
      <alignment vertical="center"/>
    </xf>
    <xf numFmtId="177" fontId="6" fillId="0" borderId="23" xfId="0" applyNumberFormat="1" applyFont="1" applyBorder="1">
      <alignment vertical="center"/>
    </xf>
    <xf numFmtId="177" fontId="6" fillId="0" borderId="109" xfId="0" applyNumberFormat="1" applyFont="1" applyBorder="1">
      <alignment vertical="center"/>
    </xf>
    <xf numFmtId="178" fontId="2" fillId="0" borderId="0" xfId="0" applyNumberFormat="1" applyFont="1" applyBorder="1" applyAlignment="1">
      <alignment horizontal="centerContinuous" vertical="center"/>
    </xf>
    <xf numFmtId="178" fontId="2" fillId="0" borderId="7" xfId="0" applyNumberFormat="1" applyFont="1" applyBorder="1" applyAlignment="1">
      <alignment horizontal="right" vertical="center"/>
    </xf>
    <xf numFmtId="177" fontId="6" fillId="0" borderId="114" xfId="0" applyNumberFormat="1" applyFont="1" applyBorder="1">
      <alignment vertical="center"/>
    </xf>
    <xf numFmtId="177" fontId="6" fillId="0" borderId="115" xfId="0" applyNumberFormat="1" applyFont="1" applyBorder="1">
      <alignment vertical="center"/>
    </xf>
    <xf numFmtId="177" fontId="6" fillId="0" borderId="116" xfId="0" applyNumberFormat="1" applyFont="1" applyBorder="1">
      <alignment vertical="center"/>
    </xf>
    <xf numFmtId="177" fontId="6" fillId="0" borderId="117" xfId="0" applyNumberFormat="1" applyFont="1" applyBorder="1">
      <alignment vertical="center"/>
    </xf>
    <xf numFmtId="178" fontId="0" fillId="0" borderId="7" xfId="0" applyNumberFormat="1" applyBorder="1">
      <alignment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 wrapText="1"/>
    </xf>
    <xf numFmtId="178" fontId="0" fillId="0" borderId="55" xfId="0" applyNumberFormat="1" applyBorder="1" applyAlignment="1">
      <alignment horizontal="center" vertical="center"/>
    </xf>
    <xf numFmtId="178" fontId="0" fillId="0" borderId="30" xfId="0" applyNumberFormat="1" applyBorder="1" applyAlignment="1">
      <alignment horizontal="center" vertical="center" wrapText="1"/>
    </xf>
    <xf numFmtId="187" fontId="0" fillId="0" borderId="0" xfId="0" applyNumberFormat="1">
      <alignment vertical="center"/>
    </xf>
    <xf numFmtId="178" fontId="0" fillId="0" borderId="3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7" fontId="0" fillId="0" borderId="17" xfId="0" applyNumberFormat="1" applyBorder="1">
      <alignment vertical="center"/>
    </xf>
    <xf numFmtId="9" fontId="0" fillId="0" borderId="0" xfId="1" applyNumberFormat="1" applyFont="1">
      <alignment vertical="center"/>
    </xf>
    <xf numFmtId="3" fontId="0" fillId="0" borderId="0" xfId="0" applyNumberFormat="1" applyAlignment="1">
      <alignment horizontal="right" vertical="center"/>
    </xf>
    <xf numFmtId="179" fontId="0" fillId="0" borderId="0" xfId="0" applyNumberFormat="1">
      <alignment vertical="center"/>
    </xf>
    <xf numFmtId="14" fontId="2" fillId="4" borderId="6" xfId="0" applyNumberFormat="1" applyFont="1" applyFill="1" applyBorder="1" applyAlignment="1">
      <alignment horizontal="centerContinuous" vertical="center"/>
    </xf>
    <xf numFmtId="14" fontId="2" fillId="4" borderId="8" xfId="0" applyNumberFormat="1" applyFont="1" applyFill="1" applyBorder="1" applyAlignment="1">
      <alignment horizontal="centerContinuous" vertical="center"/>
    </xf>
    <xf numFmtId="178" fontId="2" fillId="4" borderId="15" xfId="1" applyNumberFormat="1" applyFont="1" applyFill="1" applyBorder="1" applyAlignment="1">
      <alignment vertical="center"/>
    </xf>
    <xf numFmtId="178" fontId="2" fillId="4" borderId="16" xfId="1" applyNumberFormat="1" applyFont="1" applyFill="1" applyBorder="1" applyAlignment="1">
      <alignment vertical="center"/>
    </xf>
    <xf numFmtId="178" fontId="2" fillId="4" borderId="47" xfId="1" applyNumberFormat="1" applyFont="1" applyFill="1" applyBorder="1">
      <alignment vertical="center"/>
    </xf>
    <xf numFmtId="178" fontId="2" fillId="4" borderId="16" xfId="1" applyNumberFormat="1" applyFont="1" applyFill="1" applyBorder="1">
      <alignment vertical="center"/>
    </xf>
    <xf numFmtId="178" fontId="2" fillId="4" borderId="17" xfId="1" applyNumberFormat="1" applyFont="1" applyFill="1" applyBorder="1">
      <alignment vertical="center"/>
    </xf>
    <xf numFmtId="0" fontId="16" fillId="10" borderId="48" xfId="0" applyFont="1" applyFill="1" applyBorder="1" applyAlignment="1">
      <alignment horizontal="centerContinuous" vertical="center"/>
    </xf>
    <xf numFmtId="0" fontId="16" fillId="10" borderId="67" xfId="0" applyFont="1" applyFill="1" applyBorder="1" applyAlignment="1">
      <alignment horizontal="centerContinuous" vertical="center"/>
    </xf>
    <xf numFmtId="0" fontId="16" fillId="10" borderId="55" xfId="0" applyFont="1" applyFill="1" applyBorder="1" applyAlignment="1">
      <alignment horizontal="centerContinuous" vertical="center"/>
    </xf>
    <xf numFmtId="9" fontId="6" fillId="0" borderId="0" xfId="1" applyNumberFormat="1" applyFont="1">
      <alignment vertical="center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78" fontId="6" fillId="0" borderId="48" xfId="0" applyNumberFormat="1" applyFont="1" applyBorder="1" applyAlignment="1">
      <alignment horizontal="center" vertical="center"/>
    </xf>
    <xf numFmtId="178" fontId="6" fillId="0" borderId="55" xfId="0" applyNumberFormat="1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16" fillId="10" borderId="0" xfId="0" applyFont="1" applyFill="1" applyBorder="1" applyAlignment="1">
      <alignment horizontal="center" vertical="center"/>
    </xf>
    <xf numFmtId="0" fontId="16" fillId="10" borderId="5" xfId="0" applyFont="1" applyFill="1" applyBorder="1" applyAlignment="1">
      <alignment horizontal="center" vertical="center"/>
    </xf>
    <xf numFmtId="0" fontId="16" fillId="10" borderId="7" xfId="0" applyFont="1" applyFill="1" applyBorder="1" applyAlignment="1">
      <alignment horizontal="center" vertical="center"/>
    </xf>
    <xf numFmtId="0" fontId="16" fillId="10" borderId="8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178" fontId="2" fillId="0" borderId="62" xfId="0" applyNumberFormat="1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178" fontId="2" fillId="4" borderId="48" xfId="1" applyNumberFormat="1" applyFont="1" applyFill="1" applyBorder="1" applyAlignment="1">
      <alignment horizontal="center" vertical="center"/>
    </xf>
    <xf numFmtId="178" fontId="2" fillId="4" borderId="67" xfId="1" applyNumberFormat="1" applyFont="1" applyFill="1" applyBorder="1" applyAlignment="1">
      <alignment horizontal="center" vertical="center"/>
    </xf>
    <xf numFmtId="178" fontId="2" fillId="4" borderId="55" xfId="1" applyNumberFormat="1" applyFont="1" applyFill="1" applyBorder="1" applyAlignment="1">
      <alignment horizontal="center" vertical="center"/>
    </xf>
    <xf numFmtId="178" fontId="16" fillId="14" borderId="68" xfId="0" applyNumberFormat="1" applyFont="1" applyFill="1" applyBorder="1" applyAlignment="1">
      <alignment horizontal="center" vertical="center"/>
    </xf>
    <xf numFmtId="178" fontId="16" fillId="14" borderId="70" xfId="0" applyNumberFormat="1" applyFont="1" applyFill="1" applyBorder="1" applyAlignment="1">
      <alignment horizontal="center" vertical="center"/>
    </xf>
    <xf numFmtId="178" fontId="16" fillId="14" borderId="1" xfId="0" applyNumberFormat="1" applyFont="1" applyFill="1" applyBorder="1" applyAlignment="1">
      <alignment horizontal="center" vertical="center"/>
    </xf>
    <xf numFmtId="178" fontId="16" fillId="14" borderId="2" xfId="0" applyNumberFormat="1" applyFont="1" applyFill="1" applyBorder="1" applyAlignment="1">
      <alignment horizontal="center" vertical="center"/>
    </xf>
    <xf numFmtId="178" fontId="16" fillId="14" borderId="6" xfId="0" applyNumberFormat="1" applyFont="1" applyFill="1" applyBorder="1" applyAlignment="1">
      <alignment horizontal="center" vertical="center"/>
    </xf>
    <xf numFmtId="178" fontId="16" fillId="14" borderId="7" xfId="0" applyNumberFormat="1" applyFont="1" applyFill="1" applyBorder="1" applyAlignment="1">
      <alignment horizontal="center" vertical="center"/>
    </xf>
    <xf numFmtId="0" fontId="14" fillId="6" borderId="95" xfId="0" applyFont="1" applyFill="1" applyBorder="1" applyAlignment="1">
      <alignment horizontal="center" vertical="center"/>
    </xf>
    <xf numFmtId="0" fontId="14" fillId="6" borderId="96" xfId="0" applyFont="1" applyFill="1" applyBorder="1" applyAlignment="1">
      <alignment horizontal="center" vertical="center"/>
    </xf>
    <xf numFmtId="0" fontId="14" fillId="6" borderId="97" xfId="0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8" fontId="2" fillId="0" borderId="3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</cellXfs>
  <cellStyles count="5">
    <cellStyle name="백분율 3" xfId="2" xr:uid="{00000000-0005-0000-0000-000001000000}"/>
    <cellStyle name="쉼표 [0]" xfId="1" builtinId="6"/>
    <cellStyle name="쉼표 [0] 2" xfId="3" xr:uid="{00000000-0005-0000-0000-000003000000}"/>
    <cellStyle name="표준" xfId="0" builtinId="0"/>
    <cellStyle name="표준 2 2" xfId="4" xr:uid="{00000000-0005-0000-0000-000005000000}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234557284159464E-2"/>
          <c:y val="0.28756197768561925"/>
          <c:w val="0.97291712426774946"/>
          <c:h val="0.48622959490478113"/>
        </c:manualLayout>
      </c:layout>
      <c:lineChart>
        <c:grouping val="standard"/>
        <c:varyColors val="0"/>
        <c:ser>
          <c:idx val="0"/>
          <c:order val="0"/>
          <c:tx>
            <c:strRef>
              <c:f>건자재!$R$38</c:f>
              <c:strCache>
                <c:ptCount val="1"/>
                <c:pt idx="0">
                  <c:v>판매단가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3175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건자재!$AM$37:$AZ$37</c:f>
              <c:strCache>
                <c:ptCount val="13"/>
                <c:pt idx="0">
                  <c:v>10월</c:v>
                </c:pt>
                <c:pt idx="1">
                  <c:v>11월</c:v>
                </c:pt>
                <c:pt idx="2">
                  <c:v>12월</c:v>
                </c:pt>
                <c:pt idx="3">
                  <c:v>1월</c:v>
                </c:pt>
                <c:pt idx="4">
                  <c:v>2월</c:v>
                </c:pt>
                <c:pt idx="5">
                  <c:v>3월</c:v>
                </c:pt>
                <c:pt idx="6">
                  <c:v>4월</c:v>
                </c:pt>
                <c:pt idx="7">
                  <c:v>5월</c:v>
                </c:pt>
                <c:pt idx="8">
                  <c:v>6월</c:v>
                </c:pt>
                <c:pt idx="9">
                  <c:v>7월</c:v>
                </c:pt>
                <c:pt idx="10">
                  <c:v>8월</c:v>
                </c:pt>
                <c:pt idx="11">
                  <c:v>9월</c:v>
                </c:pt>
                <c:pt idx="12">
                  <c:v>10월</c:v>
                </c:pt>
              </c:strCache>
            </c:strRef>
          </c:cat>
          <c:val>
            <c:numRef>
              <c:f>건자재!$AM$38:$AZ$38</c:f>
              <c:numCache>
                <c:formatCode>#,##0_);[Red]\(#,##0\)</c:formatCode>
                <c:ptCount val="13"/>
                <c:pt idx="0">
                  <c:v>818946.47731031897</c:v>
                </c:pt>
                <c:pt idx="1">
                  <c:v>798803.69146262086</c:v>
                </c:pt>
                <c:pt idx="2">
                  <c:v>752238.01942182856</c:v>
                </c:pt>
                <c:pt idx="3">
                  <c:v>756420.01123690419</c:v>
                </c:pt>
                <c:pt idx="4">
                  <c:v>744684.72993482568</c:v>
                </c:pt>
                <c:pt idx="5">
                  <c:v>736140.83983969816</c:v>
                </c:pt>
                <c:pt idx="6">
                  <c:v>800210.93236806407</c:v>
                </c:pt>
                <c:pt idx="7">
                  <c:v>798001.52569848381</c:v>
                </c:pt>
                <c:pt idx="8">
                  <c:v>779915.72567572771</c:v>
                </c:pt>
                <c:pt idx="9">
                  <c:v>794077.93162643479</c:v>
                </c:pt>
                <c:pt idx="10">
                  <c:v>765881.71758050087</c:v>
                </c:pt>
                <c:pt idx="11">
                  <c:v>791593.63411319733</c:v>
                </c:pt>
                <c:pt idx="12">
                  <c:v>809127.48025390261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B4-46FC-8FC4-288C49F9A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924856"/>
        <c:axId val="725929120"/>
      </c:lineChart>
      <c:catAx>
        <c:axId val="72592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9120"/>
        <c:crosses val="autoZero"/>
        <c:auto val="1"/>
        <c:lblAlgn val="ctr"/>
        <c:lblOffset val="0"/>
        <c:noMultiLvlLbl val="0"/>
      </c:catAx>
      <c:valAx>
        <c:axId val="725929120"/>
        <c:scaling>
          <c:orientation val="minMax"/>
          <c:max val="1000000"/>
          <c:min val="700000"/>
        </c:scaling>
        <c:delete val="0"/>
        <c:axPos val="l"/>
        <c:numFmt formatCode="#,##0_);[Red]\(#,##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4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28</xdr:row>
      <xdr:rowOff>27213</xdr:rowOff>
    </xdr:from>
    <xdr:to>
      <xdr:col>14</xdr:col>
      <xdr:colOff>544285</xdr:colOff>
      <xdr:row>33</xdr:row>
      <xdr:rowOff>258535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1A4D714-984C-4AB0-97A8-547DE6A63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1_&#51665;&#44228;/&#50896;&#44032;&#49552;&#51061;/2025&#45380;_&#54637;&#47785;&#48324;&#49552;&#51061;&#50696;&#4932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_&#54637;&#47785;&#48324;&#49552;&#51061;&#49892;&#51201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412(&#52572;&#51333;)/00_&#48372;&#44256;&#49436;/2024&#45380;_&#54637;&#47785;&#48324;&#49552;&#51061;&#49892;&#51201;_&#54620;&#49457;&#54252;&#5463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10/01_&#47112;&#48120;&#53080;/&#47112;&#48120;&#53080;&#50896;&#44032;&#49552;&#51061;(2025-10)&#44228;&#54925;&#45824;&#4870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10/01_&#47112;&#48120;&#53080;/&#47112;&#48120;&#53080;&#50896;&#44032;&#49552;&#51061;(2025-10)&#51204;&#45380;&#45824;&#4870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10/02_&#44148;&#51088;&#51116;/&#44148;&#51088;&#51116;&#50689;&#50629;&#49552;&#51061;(2025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412(&#52572;&#51333;)/02_&#44148;&#51088;&#51116;/&#44148;&#51088;&#51116;&#50689;&#50629;&#49552;&#51061;(2024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10/03_&#44264;&#51116;/&#48512;&#49328;&#47784;&#47000;&#51109;&#50896;&#44032;&#49552;&#51061;(2025-10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10/03_&#44264;&#51116;/&#48512;&#49328;&#53356;&#46972;&#49380;&#50896;&#44032;&#49552;&#51061;(2025-10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10/03_&#44264;&#51116;/&#49436;&#48512;&#49328;&#53356;&#46972;&#49380;&#50896;&#44032;&#49552;&#51061;(2025-10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412(&#52572;&#51333;)/03_&#44264;&#51116;/&#44264;&#51116;&#50896;&#44032;&#49552;&#51061;(2024-10)&#44228;&#54925;&#45824;&#48708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10/01_&#47112;&#48120;&#53080;/&#47112;&#48120;&#53080;&#50896;&#44032;&#49552;&#51061;(2025-10&#45572;&#44228;)&#44228;&#54925;&#45824;&#48708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10/01_&#47112;&#48120;&#53080;/&#47112;&#48120;&#53080;&#50896;&#44032;&#49552;&#51061;(2025-10&#45572;&#44228;)&#51204;&#45380;&#45824;&#48708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2_&#50696;&#49328;&#50836;&#44396;&#50504;/&#44148;&#51088;&#51116;/2025&#45380;_&#50696;&#49328;&#50836;&#44396;&#50504;_&#44148;&#51088;&#51116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&#49552;&#51061;&#48372;&#44256;&#49436;(2025-09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손익"/>
      <sheetName val="월별손익 (2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2월누계"/>
      <sheetName val="3월누계"/>
      <sheetName val="4월누계"/>
      <sheetName val="5월누계"/>
      <sheetName val="6월누계"/>
      <sheetName val="7월누계"/>
      <sheetName val="8월누계"/>
      <sheetName val="9월누계"/>
      <sheetName val="10월누계"/>
      <sheetName val="11월누계"/>
      <sheetName val="12월누계"/>
      <sheetName val="6-12월"/>
      <sheetName val="하반기"/>
      <sheetName val="4분기"/>
      <sheetName val="물량"/>
      <sheetName val="매출액"/>
      <sheetName val="매출원가"/>
      <sheetName val="노무비"/>
      <sheetName val="경비"/>
      <sheetName val="운반비"/>
      <sheetName val="감가상각비_제조"/>
      <sheetName val="감가상각비_판매"/>
      <sheetName val="영업공통비"/>
      <sheetName val="부문공통비"/>
      <sheetName val="본사공통비"/>
      <sheetName val="매출이익"/>
      <sheetName val="영업이익1"/>
      <sheetName val="영업이익2"/>
      <sheetName val="Sheet1"/>
      <sheetName val="Sheet2"/>
      <sheetName val="Sheet2 (2)"/>
    </sheetNames>
    <sheetDataSet>
      <sheetData sheetId="0" refreshError="1"/>
      <sheetData sheetId="1" refreshError="1"/>
      <sheetData sheetId="2">
        <row r="7">
          <cell r="Z7">
            <v>207000</v>
          </cell>
        </row>
      </sheetData>
      <sheetData sheetId="3">
        <row r="7">
          <cell r="Z7">
            <v>227000</v>
          </cell>
        </row>
      </sheetData>
      <sheetData sheetId="4">
        <row r="7">
          <cell r="Z7">
            <v>273000</v>
          </cell>
        </row>
      </sheetData>
      <sheetData sheetId="5">
        <row r="7">
          <cell r="Z7">
            <v>295500</v>
          </cell>
        </row>
      </sheetData>
      <sheetData sheetId="6">
        <row r="7">
          <cell r="Z7">
            <v>290500</v>
          </cell>
        </row>
      </sheetData>
      <sheetData sheetId="7">
        <row r="7">
          <cell r="Z7">
            <v>290000</v>
          </cell>
        </row>
      </sheetData>
      <sheetData sheetId="8">
        <row r="7">
          <cell r="Z7">
            <v>284000</v>
          </cell>
        </row>
      </sheetData>
      <sheetData sheetId="9">
        <row r="7">
          <cell r="Z7">
            <v>271500</v>
          </cell>
        </row>
      </sheetData>
      <sheetData sheetId="10">
        <row r="7">
          <cell r="Z7">
            <v>300000</v>
          </cell>
        </row>
      </sheetData>
      <sheetData sheetId="11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부산시그마</v>
          </cell>
          <cell r="AS6" t="str">
            <v>임금인상</v>
          </cell>
          <cell r="AT6" t="str">
            <v>기타</v>
          </cell>
          <cell r="AU6" t="str">
            <v>기타 계</v>
          </cell>
        </row>
        <row r="7">
          <cell r="D7" t="str">
            <v>물     량</v>
          </cell>
          <cell r="F7">
            <v>35000</v>
          </cell>
          <cell r="G7">
            <v>26000</v>
          </cell>
          <cell r="H7">
            <v>21000</v>
          </cell>
          <cell r="I7">
            <v>14000</v>
          </cell>
          <cell r="J7">
            <v>19000</v>
          </cell>
          <cell r="K7">
            <v>19000</v>
          </cell>
          <cell r="L7">
            <v>16000</v>
          </cell>
          <cell r="M7">
            <v>18000</v>
          </cell>
          <cell r="N7">
            <v>12000</v>
          </cell>
          <cell r="O7">
            <v>18000</v>
          </cell>
          <cell r="P7">
            <v>12000</v>
          </cell>
          <cell r="Q7">
            <v>12500</v>
          </cell>
          <cell r="R7">
            <v>21000</v>
          </cell>
          <cell r="S7">
            <v>12000</v>
          </cell>
          <cell r="T7">
            <v>7500</v>
          </cell>
          <cell r="U7">
            <v>5000</v>
          </cell>
          <cell r="V7">
            <v>8000</v>
          </cell>
          <cell r="W7">
            <v>0</v>
          </cell>
          <cell r="X7">
            <v>0</v>
          </cell>
          <cell r="Y7">
            <v>0</v>
          </cell>
          <cell r="Z7">
            <v>276000</v>
          </cell>
          <cell r="AA7">
            <v>11000</v>
          </cell>
          <cell r="AB7">
            <v>45741.815053763436</v>
          </cell>
          <cell r="AC7">
            <v>39561.554933333333</v>
          </cell>
          <cell r="AD7">
            <v>22914.307376994901</v>
          </cell>
          <cell r="AE7">
            <v>108217.67736409167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D8" t="str">
            <v>매 출 액</v>
          </cell>
          <cell r="E8">
            <v>42135588.765734859</v>
          </cell>
          <cell r="F8">
            <v>3561953.5200000005</v>
          </cell>
          <cell r="G8">
            <v>2693993.2179409387</v>
          </cell>
          <cell r="H8">
            <v>2020320.2471999999</v>
          </cell>
          <cell r="I8">
            <v>1330387.45</v>
          </cell>
          <cell r="J8">
            <v>2046300.38836</v>
          </cell>
          <cell r="K8">
            <v>1886707.324000001</v>
          </cell>
          <cell r="L8">
            <v>1540796.7</v>
          </cell>
          <cell r="M8">
            <v>1836007.6551999999</v>
          </cell>
          <cell r="N8">
            <v>1132560</v>
          </cell>
          <cell r="O8">
            <v>1801804.6371719998</v>
          </cell>
          <cell r="P8">
            <v>1167031.6826086957</v>
          </cell>
          <cell r="Q8">
            <v>1302777</v>
          </cell>
          <cell r="R8">
            <v>2163000</v>
          </cell>
          <cell r="S8">
            <v>1209930.8700000001</v>
          </cell>
          <cell r="T8">
            <v>832853.8</v>
          </cell>
          <cell r="U8">
            <v>560000</v>
          </cell>
          <cell r="V8">
            <v>980908</v>
          </cell>
          <cell r="W8">
            <v>0</v>
          </cell>
          <cell r="X8">
            <v>0</v>
          </cell>
          <cell r="Y8">
            <v>0</v>
          </cell>
          <cell r="Z8">
            <v>28067332.492481634</v>
          </cell>
          <cell r="AA8">
            <v>11978568.614399999</v>
          </cell>
          <cell r="AB8">
            <v>659928.64086021506</v>
          </cell>
          <cell r="AC8">
            <v>666406.58400000003</v>
          </cell>
          <cell r="AD8">
            <v>620324.26732634299</v>
          </cell>
          <cell r="AE8">
            <v>1946659.492186558</v>
          </cell>
          <cell r="AF8">
            <v>12500</v>
          </cell>
          <cell r="AG8">
            <v>25000</v>
          </cell>
          <cell r="AH8">
            <v>29166.666666666668</v>
          </cell>
          <cell r="AI8">
            <v>69070</v>
          </cell>
          <cell r="AJ8">
            <v>5521.5</v>
          </cell>
          <cell r="AK8">
            <v>0</v>
          </cell>
          <cell r="AL8">
            <v>141258.16666666669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1770</v>
          </cell>
          <cell r="AU8">
            <v>1770</v>
          </cell>
        </row>
        <row r="9">
          <cell r="D9" t="str">
            <v xml:space="preserve"> - 단  위  당</v>
          </cell>
          <cell r="F9">
            <v>101770.10057142859</v>
          </cell>
          <cell r="G9">
            <v>103615.12376695918</v>
          </cell>
          <cell r="H9">
            <v>96205.726057142849</v>
          </cell>
          <cell r="I9">
            <v>95027.675000000003</v>
          </cell>
          <cell r="J9">
            <v>107700.02044000001</v>
          </cell>
          <cell r="K9">
            <v>99300.385473684262</v>
          </cell>
          <cell r="L9">
            <v>96299.793749999997</v>
          </cell>
          <cell r="M9">
            <v>102000.42528888889</v>
          </cell>
          <cell r="N9">
            <v>94380</v>
          </cell>
          <cell r="O9">
            <v>100100.25762066666</v>
          </cell>
          <cell r="P9">
            <v>97252.640217391308</v>
          </cell>
          <cell r="Q9">
            <v>104222.16</v>
          </cell>
          <cell r="R9">
            <v>103000</v>
          </cell>
          <cell r="S9">
            <v>100827.57250000001</v>
          </cell>
          <cell r="T9">
            <v>111047.17333333334</v>
          </cell>
          <cell r="U9">
            <v>112000</v>
          </cell>
          <cell r="V9">
            <v>122613.5</v>
          </cell>
          <cell r="W9">
            <v>0</v>
          </cell>
          <cell r="X9">
            <v>0</v>
          </cell>
          <cell r="Y9">
            <v>0</v>
          </cell>
          <cell r="Z9">
            <v>101693.23366841172</v>
          </cell>
          <cell r="AA9">
            <v>1088960.7831272727</v>
          </cell>
          <cell r="AB9">
            <v>14427.250866292832</v>
          </cell>
          <cell r="AC9">
            <v>16844.802615139542</v>
          </cell>
          <cell r="AD9">
            <v>27071.482332873176</v>
          </cell>
          <cell r="AE9">
            <v>17988.368809997119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D10" t="str">
            <v>매출원가</v>
          </cell>
          <cell r="E10">
            <v>37319359.512610331</v>
          </cell>
          <cell r="F10">
            <v>3049758.7922956054</v>
          </cell>
          <cell r="G10">
            <v>2360888.2042417256</v>
          </cell>
          <cell r="H10">
            <v>1859324.1564264116</v>
          </cell>
          <cell r="I10">
            <v>1191460.8735747321</v>
          </cell>
          <cell r="J10">
            <v>1786516.0052721999</v>
          </cell>
          <cell r="K10">
            <v>1631522.2529176159</v>
          </cell>
          <cell r="L10">
            <v>1342294.7517098098</v>
          </cell>
          <cell r="M10">
            <v>1619657.8039361634</v>
          </cell>
          <cell r="N10">
            <v>981610.71924044983</v>
          </cell>
          <cell r="O10">
            <v>1482084.2511357078</v>
          </cell>
          <cell r="P10">
            <v>1001327.9569910129</v>
          </cell>
          <cell r="Q10">
            <v>1115509.1499037729</v>
          </cell>
          <cell r="R10">
            <v>1799824.9021552224</v>
          </cell>
          <cell r="S10">
            <v>980784.86867107661</v>
          </cell>
          <cell r="T10">
            <v>605091.74637540185</v>
          </cell>
          <cell r="U10">
            <v>438590.30080659606</v>
          </cell>
          <cell r="V10">
            <v>803184.57922659384</v>
          </cell>
          <cell r="W10">
            <v>0</v>
          </cell>
          <cell r="X10">
            <v>0</v>
          </cell>
          <cell r="Y10">
            <v>0</v>
          </cell>
          <cell r="Z10">
            <v>24049431.314880099</v>
          </cell>
          <cell r="AA10">
            <v>11655606.716888821</v>
          </cell>
          <cell r="AB10">
            <v>538890.32999999984</v>
          </cell>
          <cell r="AC10">
            <v>514638.0670090667</v>
          </cell>
          <cell r="AD10">
            <v>519426.76383234933</v>
          </cell>
          <cell r="AE10">
            <v>1572955.1608414159</v>
          </cell>
          <cell r="AF10">
            <v>110</v>
          </cell>
          <cell r="AG10">
            <v>628</v>
          </cell>
          <cell r="AH10">
            <v>443</v>
          </cell>
          <cell r="AI10">
            <v>197</v>
          </cell>
          <cell r="AJ10">
            <v>151</v>
          </cell>
          <cell r="AK10">
            <v>0</v>
          </cell>
          <cell r="AL10">
            <v>1529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39837.32</v>
          </cell>
          <cell r="AT10">
            <v>0</v>
          </cell>
          <cell r="AU10">
            <v>39837.32</v>
          </cell>
        </row>
        <row r="11">
          <cell r="D11" t="str">
            <v xml:space="preserve"> - 단  위  당</v>
          </cell>
          <cell r="F11">
            <v>87135.965494160162</v>
          </cell>
          <cell r="G11">
            <v>90803.392470835606</v>
          </cell>
          <cell r="H11">
            <v>88539.245544114834</v>
          </cell>
          <cell r="I11">
            <v>85104.34811248086</v>
          </cell>
          <cell r="J11">
            <v>94027.158172221054</v>
          </cell>
          <cell r="K11">
            <v>85869.592258821896</v>
          </cell>
          <cell r="L11">
            <v>83893.42198186311</v>
          </cell>
          <cell r="M11">
            <v>89980.989107564645</v>
          </cell>
          <cell r="N11">
            <v>81800.893270037486</v>
          </cell>
          <cell r="O11">
            <v>82338.013951983768</v>
          </cell>
          <cell r="P11">
            <v>83443.996415917733</v>
          </cell>
          <cell r="Q11">
            <v>89240.731992301837</v>
          </cell>
          <cell r="R11">
            <v>85705.947721677265</v>
          </cell>
          <cell r="S11">
            <v>81732.072389256384</v>
          </cell>
          <cell r="T11">
            <v>80678.899516720252</v>
          </cell>
          <cell r="U11">
            <v>87718.060161319212</v>
          </cell>
          <cell r="V11">
            <v>100398.07240332423</v>
          </cell>
          <cell r="W11">
            <v>0</v>
          </cell>
          <cell r="X11">
            <v>0</v>
          </cell>
          <cell r="Y11">
            <v>0</v>
          </cell>
          <cell r="Z11">
            <v>87135.620706087313</v>
          </cell>
          <cell r="AA11">
            <v>1059600.6106262563</v>
          </cell>
          <cell r="AB11">
            <v>11781.131320797082</v>
          </cell>
          <cell r="AC11">
            <v>13008.539929138344</v>
          </cell>
          <cell r="AD11">
            <v>22668.228861843505</v>
          </cell>
          <cell r="AE11">
            <v>14535.103683193141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D12" t="str">
            <v>매출이익</v>
          </cell>
          <cell r="E12">
            <v>4816229.2531245276</v>
          </cell>
          <cell r="F12">
            <v>512194.72770439507</v>
          </cell>
          <cell r="G12">
            <v>333105.01369921304</v>
          </cell>
          <cell r="H12">
            <v>160996.09077358828</v>
          </cell>
          <cell r="I12">
            <v>138926.57642526785</v>
          </cell>
          <cell r="J12">
            <v>259784.38308780012</v>
          </cell>
          <cell r="K12">
            <v>255185.07108238502</v>
          </cell>
          <cell r="L12">
            <v>198501.94829019019</v>
          </cell>
          <cell r="M12">
            <v>216349.85126383649</v>
          </cell>
          <cell r="N12">
            <v>150949.28075955017</v>
          </cell>
          <cell r="O12">
            <v>319720.38603629195</v>
          </cell>
          <cell r="P12">
            <v>165703.72561768279</v>
          </cell>
          <cell r="Q12">
            <v>187267.85009622714</v>
          </cell>
          <cell r="R12">
            <v>363175.09784477763</v>
          </cell>
          <cell r="S12">
            <v>229146.00132892351</v>
          </cell>
          <cell r="T12">
            <v>227762.05362459819</v>
          </cell>
          <cell r="U12">
            <v>121409.69919340394</v>
          </cell>
          <cell r="V12">
            <v>177723.42077340616</v>
          </cell>
          <cell r="W12">
            <v>0</v>
          </cell>
          <cell r="X12">
            <v>0</v>
          </cell>
          <cell r="Y12">
            <v>0</v>
          </cell>
          <cell r="Z12">
            <v>4017901.1776015349</v>
          </cell>
          <cell r="AA12">
            <v>322961.89751117863</v>
          </cell>
          <cell r="AB12">
            <v>121038.31086021522</v>
          </cell>
          <cell r="AC12">
            <v>151768.51699093333</v>
          </cell>
          <cell r="AD12">
            <v>100897.50349399366</v>
          </cell>
          <cell r="AE12">
            <v>373704.3313451421</v>
          </cell>
          <cell r="AF12">
            <v>12390</v>
          </cell>
          <cell r="AG12">
            <v>24372</v>
          </cell>
          <cell r="AH12">
            <v>28723.666666666668</v>
          </cell>
          <cell r="AI12">
            <v>68873</v>
          </cell>
          <cell r="AJ12">
            <v>5370.5</v>
          </cell>
          <cell r="AK12">
            <v>0</v>
          </cell>
          <cell r="AL12">
            <v>139729.16666666669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-39837.32</v>
          </cell>
          <cell r="AT12">
            <v>1770</v>
          </cell>
          <cell r="AU12">
            <v>-38067.32</v>
          </cell>
        </row>
        <row r="13">
          <cell r="D13" t="str">
            <v>판 관 비</v>
          </cell>
          <cell r="E13">
            <v>791975.22000000009</v>
          </cell>
          <cell r="F13">
            <v>66568.859999999986</v>
          </cell>
          <cell r="G13">
            <v>59817.31</v>
          </cell>
          <cell r="H13">
            <v>49212.32</v>
          </cell>
          <cell r="I13">
            <v>35916.26</v>
          </cell>
          <cell r="J13">
            <v>45165.440000000002</v>
          </cell>
          <cell r="K13">
            <v>47488.14</v>
          </cell>
          <cell r="L13">
            <v>37321.67</v>
          </cell>
          <cell r="M13">
            <v>49044.33</v>
          </cell>
          <cell r="N13">
            <v>27169.299999999996</v>
          </cell>
          <cell r="O13">
            <v>35912.47</v>
          </cell>
          <cell r="P13">
            <v>36472.270000000004</v>
          </cell>
          <cell r="Q13">
            <v>35723.71</v>
          </cell>
          <cell r="R13">
            <v>44623.64</v>
          </cell>
          <cell r="S13">
            <v>28926.809999999998</v>
          </cell>
          <cell r="T13">
            <v>10984.019999999999</v>
          </cell>
          <cell r="U13">
            <v>11487.220000000001</v>
          </cell>
          <cell r="V13">
            <v>15113.560000000001</v>
          </cell>
          <cell r="W13">
            <v>0</v>
          </cell>
          <cell r="X13">
            <v>0</v>
          </cell>
          <cell r="Y13">
            <v>0</v>
          </cell>
          <cell r="Z13">
            <v>636947.33000000007</v>
          </cell>
          <cell r="AA13">
            <v>117425.58000000002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479</v>
          </cell>
          <cell r="AN13">
            <v>267</v>
          </cell>
          <cell r="AO13">
            <v>217</v>
          </cell>
          <cell r="AP13">
            <v>166</v>
          </cell>
          <cell r="AQ13">
            <v>7975</v>
          </cell>
          <cell r="AR13">
            <v>0</v>
          </cell>
          <cell r="AS13">
            <v>28498.31</v>
          </cell>
          <cell r="AT13">
            <v>0</v>
          </cell>
          <cell r="AU13">
            <v>37602.31</v>
          </cell>
        </row>
        <row r="14">
          <cell r="D14" t="str">
            <v xml:space="preserve"> - 노   무   비</v>
          </cell>
          <cell r="E14">
            <v>587993.1100000001</v>
          </cell>
          <cell r="F14">
            <v>49636.469999999994</v>
          </cell>
          <cell r="G14">
            <v>43328.76</v>
          </cell>
          <cell r="H14">
            <v>37165.25</v>
          </cell>
          <cell r="I14">
            <v>26271.91</v>
          </cell>
          <cell r="J14">
            <v>33148.82</v>
          </cell>
          <cell r="K14">
            <v>36362.49</v>
          </cell>
          <cell r="L14">
            <v>28154.09</v>
          </cell>
          <cell r="M14">
            <v>35251.530000000006</v>
          </cell>
          <cell r="N14">
            <v>20313.559999999998</v>
          </cell>
          <cell r="O14">
            <v>27304.470000000005</v>
          </cell>
          <cell r="P14">
            <v>27408.81</v>
          </cell>
          <cell r="Q14">
            <v>27046.1</v>
          </cell>
          <cell r="R14">
            <v>33282.01</v>
          </cell>
          <cell r="S14">
            <v>22210.209999999995</v>
          </cell>
          <cell r="T14">
            <v>7567.369999999999</v>
          </cell>
          <cell r="U14">
            <v>7347.5</v>
          </cell>
          <cell r="V14">
            <v>10807.03</v>
          </cell>
          <cell r="W14">
            <v>0</v>
          </cell>
          <cell r="X14">
            <v>0</v>
          </cell>
          <cell r="Y14">
            <v>0</v>
          </cell>
          <cell r="Z14">
            <v>472606.38000000006</v>
          </cell>
          <cell r="AA14">
            <v>89090.290000000008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26296.440000000002</v>
          </cell>
          <cell r="AT14">
            <v>0</v>
          </cell>
          <cell r="AU14">
            <v>26296.440000000002</v>
          </cell>
        </row>
        <row r="15">
          <cell r="D15" t="str">
            <v xml:space="preserve"> - 경        비</v>
          </cell>
          <cell r="E15">
            <v>203982.11000000002</v>
          </cell>
          <cell r="F15">
            <v>16932.39</v>
          </cell>
          <cell r="G15">
            <v>16488.55</v>
          </cell>
          <cell r="H15">
            <v>12047.07</v>
          </cell>
          <cell r="I15">
            <v>9644.35</v>
          </cell>
          <cell r="J15">
            <v>12016.619999999999</v>
          </cell>
          <cell r="K15">
            <v>11125.65</v>
          </cell>
          <cell r="L15">
            <v>9167.58</v>
          </cell>
          <cell r="M15">
            <v>13792.8</v>
          </cell>
          <cell r="N15">
            <v>6855.74</v>
          </cell>
          <cell r="O15">
            <v>8608</v>
          </cell>
          <cell r="P15">
            <v>9063.4599999999991</v>
          </cell>
          <cell r="Q15">
            <v>8677.61</v>
          </cell>
          <cell r="R15">
            <v>11341.630000000001</v>
          </cell>
          <cell r="S15">
            <v>6716.6</v>
          </cell>
          <cell r="T15">
            <v>3416.65</v>
          </cell>
          <cell r="U15">
            <v>4139.72</v>
          </cell>
          <cell r="V15">
            <v>4306.53</v>
          </cell>
          <cell r="W15">
            <v>0</v>
          </cell>
          <cell r="X15">
            <v>0</v>
          </cell>
          <cell r="Y15">
            <v>0</v>
          </cell>
          <cell r="Z15">
            <v>164340.95000000001</v>
          </cell>
          <cell r="AA15">
            <v>28335.29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479</v>
          </cell>
          <cell r="AN15">
            <v>267</v>
          </cell>
          <cell r="AO15">
            <v>217</v>
          </cell>
          <cell r="AP15">
            <v>166</v>
          </cell>
          <cell r="AQ15">
            <v>7975</v>
          </cell>
          <cell r="AR15">
            <v>0</v>
          </cell>
          <cell r="AS15">
            <v>2201.87</v>
          </cell>
          <cell r="AT15">
            <v>0</v>
          </cell>
          <cell r="AU15">
            <v>11305.869999999999</v>
          </cell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</row>
        <row r="17">
          <cell r="D17" t="str">
            <v>EBITDA</v>
          </cell>
          <cell r="E17">
            <v>4024254.0331245274</v>
          </cell>
          <cell r="F17">
            <v>445625.86770439509</v>
          </cell>
          <cell r="G17">
            <v>273287.70369921305</v>
          </cell>
          <cell r="H17">
            <v>111783.77077358827</v>
          </cell>
          <cell r="I17">
            <v>103010.31642526784</v>
          </cell>
          <cell r="J17">
            <v>214618.94308780011</v>
          </cell>
          <cell r="K17">
            <v>207696.93108238501</v>
          </cell>
          <cell r="L17">
            <v>161180.27829019021</v>
          </cell>
          <cell r="M17">
            <v>167305.52126383648</v>
          </cell>
          <cell r="N17">
            <v>123779.98075955018</v>
          </cell>
          <cell r="O17">
            <v>283807.91603629198</v>
          </cell>
          <cell r="P17">
            <v>129231.45561768279</v>
          </cell>
          <cell r="Q17">
            <v>151544.14009622714</v>
          </cell>
          <cell r="R17">
            <v>318551.45784477761</v>
          </cell>
          <cell r="S17">
            <v>200219.19132892351</v>
          </cell>
          <cell r="T17">
            <v>216778.0336245982</v>
          </cell>
          <cell r="U17">
            <v>109922.47919340394</v>
          </cell>
          <cell r="V17">
            <v>162609.86077340617</v>
          </cell>
          <cell r="W17">
            <v>0</v>
          </cell>
          <cell r="X17">
            <v>0</v>
          </cell>
          <cell r="Y17">
            <v>0</v>
          </cell>
          <cell r="Z17">
            <v>3380953.8476015348</v>
          </cell>
          <cell r="AA17">
            <v>205536.31751117861</v>
          </cell>
          <cell r="AB17">
            <v>121038.31086021522</v>
          </cell>
          <cell r="AC17">
            <v>151768.51699093333</v>
          </cell>
          <cell r="AD17">
            <v>100897.50349399366</v>
          </cell>
          <cell r="AE17">
            <v>373704.3313451421</v>
          </cell>
          <cell r="AF17">
            <v>12390</v>
          </cell>
          <cell r="AG17">
            <v>24372</v>
          </cell>
          <cell r="AH17">
            <v>28723.666666666668</v>
          </cell>
          <cell r="AI17">
            <v>68873</v>
          </cell>
          <cell r="AJ17">
            <v>5370.5</v>
          </cell>
          <cell r="AK17">
            <v>0</v>
          </cell>
          <cell r="AL17">
            <v>139729.16666666669</v>
          </cell>
          <cell r="AM17">
            <v>-479</v>
          </cell>
          <cell r="AN17">
            <v>-267</v>
          </cell>
          <cell r="AO17">
            <v>-217</v>
          </cell>
          <cell r="AP17">
            <v>-166</v>
          </cell>
          <cell r="AQ17">
            <v>-7975</v>
          </cell>
          <cell r="AR17">
            <v>0</v>
          </cell>
          <cell r="AS17">
            <v>-68335.63</v>
          </cell>
          <cell r="AT17">
            <v>1770</v>
          </cell>
          <cell r="AU17">
            <v>-75669.63</v>
          </cell>
        </row>
        <row r="18">
          <cell r="D18" t="str">
            <v>감가상각비</v>
          </cell>
          <cell r="E18">
            <v>579878.34757345659</v>
          </cell>
          <cell r="F18">
            <v>30016.156888888891</v>
          </cell>
          <cell r="G18">
            <v>35794.468461688899</v>
          </cell>
          <cell r="H18">
            <v>21509.885333333332</v>
          </cell>
          <cell r="I18">
            <v>18531.579444444447</v>
          </cell>
          <cell r="J18">
            <v>48271.086555555557</v>
          </cell>
          <cell r="K18">
            <v>28977.950777777776</v>
          </cell>
          <cell r="L18">
            <v>14075.254444444443</v>
          </cell>
          <cell r="M18">
            <v>26338.268333333333</v>
          </cell>
          <cell r="N18">
            <v>12232.011444444444</v>
          </cell>
          <cell r="O18">
            <v>31871.415222222218</v>
          </cell>
          <cell r="P18">
            <v>16332.069325359782</v>
          </cell>
          <cell r="Q18">
            <v>15715.589833060507</v>
          </cell>
          <cell r="R18">
            <v>36801.933444444439</v>
          </cell>
          <cell r="S18">
            <v>21587.247777777779</v>
          </cell>
          <cell r="T18">
            <v>11709.676333333335</v>
          </cell>
          <cell r="U18">
            <v>6057.137777777777</v>
          </cell>
          <cell r="V18">
            <v>12501.272620014095</v>
          </cell>
          <cell r="W18">
            <v>0</v>
          </cell>
          <cell r="X18">
            <v>0</v>
          </cell>
          <cell r="Y18">
            <v>0</v>
          </cell>
          <cell r="Z18">
            <v>388323.00401790108</v>
          </cell>
          <cell r="AA18">
            <v>5475.768</v>
          </cell>
          <cell r="AB18">
            <v>23534.010555555556</v>
          </cell>
          <cell r="AC18">
            <v>58123.188333333339</v>
          </cell>
          <cell r="AD18">
            <v>35400.856666666674</v>
          </cell>
          <cell r="AE18">
            <v>117058.05555555558</v>
          </cell>
          <cell r="AF18">
            <v>3295.3759999999997</v>
          </cell>
          <cell r="AG18">
            <v>5669.0560000000005</v>
          </cell>
          <cell r="AH18">
            <v>8242.3469999999998</v>
          </cell>
          <cell r="AI18">
            <v>8489.6080000000002</v>
          </cell>
          <cell r="AJ18">
            <v>1312.8920000000001</v>
          </cell>
          <cell r="AK18">
            <v>0</v>
          </cell>
          <cell r="AL18">
            <v>27009.279000000002</v>
          </cell>
          <cell r="AM18">
            <v>3687.22</v>
          </cell>
          <cell r="AN18">
            <v>899.51400000000001</v>
          </cell>
          <cell r="AO18">
            <v>353.67200000000003</v>
          </cell>
          <cell r="AP18">
            <v>241.20500000000001</v>
          </cell>
          <cell r="AQ18">
            <v>18257.885000000002</v>
          </cell>
          <cell r="AR18">
            <v>855.83600000000001</v>
          </cell>
          <cell r="AS18">
            <v>0</v>
          </cell>
          <cell r="AT18">
            <v>17716.909</v>
          </cell>
          <cell r="AU18">
            <v>42012.240999999995</v>
          </cell>
        </row>
        <row r="19">
          <cell r="D19" t="str">
            <v xml:space="preserve"> - 제        조</v>
          </cell>
          <cell r="E19">
            <v>510326.92557345662</v>
          </cell>
          <cell r="F19">
            <v>27688.534888888891</v>
          </cell>
          <cell r="G19">
            <v>33849.333461688897</v>
          </cell>
          <cell r="H19">
            <v>19738.638333333332</v>
          </cell>
          <cell r="I19">
            <v>17339.591444444446</v>
          </cell>
          <cell r="J19">
            <v>46395.020555555559</v>
          </cell>
          <cell r="K19">
            <v>27413.548777777778</v>
          </cell>
          <cell r="L19">
            <v>12881.655444444443</v>
          </cell>
          <cell r="M19">
            <v>24774.963333333333</v>
          </cell>
          <cell r="N19">
            <v>11481.975444444444</v>
          </cell>
          <cell r="O19">
            <v>30652.649222222219</v>
          </cell>
          <cell r="P19">
            <v>15126.681325359781</v>
          </cell>
          <cell r="Q19">
            <v>14613.434833060506</v>
          </cell>
          <cell r="R19">
            <v>35213.732444444438</v>
          </cell>
          <cell r="S19">
            <v>20460.383777777777</v>
          </cell>
          <cell r="T19">
            <v>11266.807333333334</v>
          </cell>
          <cell r="U19">
            <v>5686.7377777777774</v>
          </cell>
          <cell r="V19">
            <v>11675.902620014094</v>
          </cell>
          <cell r="W19">
            <v>0</v>
          </cell>
          <cell r="X19">
            <v>0</v>
          </cell>
          <cell r="Y19">
            <v>0</v>
          </cell>
          <cell r="Z19">
            <v>366259.59101790108</v>
          </cell>
          <cell r="AA19">
            <v>0</v>
          </cell>
          <cell r="AB19">
            <v>23534.010555555556</v>
          </cell>
          <cell r="AC19">
            <v>58123.188333333339</v>
          </cell>
          <cell r="AD19">
            <v>35400.856666666674</v>
          </cell>
          <cell r="AE19">
            <v>117058.05555555558</v>
          </cell>
          <cell r="AF19">
            <v>3295.3759999999997</v>
          </cell>
          <cell r="AG19">
            <v>5669.0560000000005</v>
          </cell>
          <cell r="AH19">
            <v>8242.3469999999998</v>
          </cell>
          <cell r="AI19">
            <v>8489.6080000000002</v>
          </cell>
          <cell r="AJ19">
            <v>1312.8920000000001</v>
          </cell>
          <cell r="AK19">
            <v>0</v>
          </cell>
          <cell r="AL19">
            <v>27009.279000000002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</row>
        <row r="20">
          <cell r="D20" t="str">
            <v xml:space="preserve"> - 판        매</v>
          </cell>
          <cell r="E20">
            <v>69551.421999999991</v>
          </cell>
          <cell r="F20">
            <v>2327.6220000000003</v>
          </cell>
          <cell r="G20">
            <v>1945.135</v>
          </cell>
          <cell r="H20">
            <v>1771.2469999999998</v>
          </cell>
          <cell r="I20">
            <v>1191.9880000000001</v>
          </cell>
          <cell r="J20">
            <v>1876.066</v>
          </cell>
          <cell r="K20">
            <v>1564.402</v>
          </cell>
          <cell r="L20">
            <v>1193.5990000000002</v>
          </cell>
          <cell r="M20">
            <v>1563.3050000000001</v>
          </cell>
          <cell r="N20">
            <v>750.03599999999994</v>
          </cell>
          <cell r="O20">
            <v>1218.7660000000001</v>
          </cell>
          <cell r="P20">
            <v>1205.3880000000001</v>
          </cell>
          <cell r="Q20">
            <v>1102.155</v>
          </cell>
          <cell r="R20">
            <v>1588.201</v>
          </cell>
          <cell r="S20">
            <v>1126.864</v>
          </cell>
          <cell r="T20">
            <v>442.86900000000003</v>
          </cell>
          <cell r="U20">
            <v>370.4</v>
          </cell>
          <cell r="V20">
            <v>825.37</v>
          </cell>
          <cell r="W20">
            <v>0</v>
          </cell>
          <cell r="X20">
            <v>0</v>
          </cell>
          <cell r="Y20">
            <v>0</v>
          </cell>
          <cell r="Z20">
            <v>22063.413</v>
          </cell>
          <cell r="AA20">
            <v>5475.768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3687.22</v>
          </cell>
          <cell r="AN20">
            <v>899.51400000000001</v>
          </cell>
          <cell r="AO20">
            <v>353.67200000000003</v>
          </cell>
          <cell r="AP20">
            <v>241.20500000000001</v>
          </cell>
          <cell r="AQ20">
            <v>18257.885000000002</v>
          </cell>
          <cell r="AR20">
            <v>855.83600000000001</v>
          </cell>
          <cell r="AS20">
            <v>0</v>
          </cell>
          <cell r="AT20">
            <v>17716.909</v>
          </cell>
          <cell r="AU20">
            <v>42012.240999999995</v>
          </cell>
        </row>
        <row r="21">
          <cell r="D21" t="str">
            <v>영업이익 I</v>
          </cell>
          <cell r="E21">
            <v>3444375.6855510706</v>
          </cell>
          <cell r="F21">
            <v>415609.71081550617</v>
          </cell>
          <cell r="G21">
            <v>237493.23523752415</v>
          </cell>
          <cell r="H21">
            <v>90273.885440254933</v>
          </cell>
          <cell r="I21">
            <v>84478.736980823393</v>
          </cell>
          <cell r="J21">
            <v>166347.85653224456</v>
          </cell>
          <cell r="K21">
            <v>178718.98030460725</v>
          </cell>
          <cell r="L21">
            <v>147105.02384574577</v>
          </cell>
          <cell r="M21">
            <v>140967.25293050313</v>
          </cell>
          <cell r="N21">
            <v>111547.96931510573</v>
          </cell>
          <cell r="O21">
            <v>251936.50081406976</v>
          </cell>
          <cell r="P21">
            <v>112899.386292323</v>
          </cell>
          <cell r="Q21">
            <v>135828.55026316663</v>
          </cell>
          <cell r="R21">
            <v>281749.52440033318</v>
          </cell>
          <cell r="S21">
            <v>178631.94355114573</v>
          </cell>
          <cell r="T21">
            <v>205068.35729126487</v>
          </cell>
          <cell r="U21">
            <v>103865.34141562616</v>
          </cell>
          <cell r="V21">
            <v>150108.58815339208</v>
          </cell>
          <cell r="W21">
            <v>0</v>
          </cell>
          <cell r="X21">
            <v>0</v>
          </cell>
          <cell r="Y21">
            <v>0</v>
          </cell>
          <cell r="Z21">
            <v>2992630.8435836337</v>
          </cell>
          <cell r="AA21">
            <v>200060.5495111786</v>
          </cell>
          <cell r="AB21">
            <v>97504.300304659671</v>
          </cell>
          <cell r="AC21">
            <v>93645.328657599995</v>
          </cell>
          <cell r="AD21">
            <v>65496.646827326986</v>
          </cell>
          <cell r="AE21">
            <v>256646.27578958654</v>
          </cell>
          <cell r="AF21">
            <v>9094.6239999999998</v>
          </cell>
          <cell r="AG21">
            <v>18702.944</v>
          </cell>
          <cell r="AH21">
            <v>20481.31966666667</v>
          </cell>
          <cell r="AI21">
            <v>60383.392</v>
          </cell>
          <cell r="AJ21">
            <v>4057.6080000000002</v>
          </cell>
          <cell r="AK21">
            <v>0</v>
          </cell>
          <cell r="AL21">
            <v>112719.88766666668</v>
          </cell>
          <cell r="AM21">
            <v>-4166.2199999999993</v>
          </cell>
          <cell r="AN21">
            <v>-1166.5140000000001</v>
          </cell>
          <cell r="AO21">
            <v>-570.67200000000003</v>
          </cell>
          <cell r="AP21">
            <v>-407.20500000000004</v>
          </cell>
          <cell r="AQ21">
            <v>-26232.885000000002</v>
          </cell>
          <cell r="AR21">
            <v>-855.83600000000001</v>
          </cell>
          <cell r="AS21">
            <v>-68335.63</v>
          </cell>
          <cell r="AT21">
            <v>-15946.909</v>
          </cell>
          <cell r="AU21">
            <v>-117681.871</v>
          </cell>
        </row>
        <row r="22">
          <cell r="D22" t="str">
            <v>공    통    비</v>
          </cell>
          <cell r="E22">
            <v>1419382.3224385683</v>
          </cell>
          <cell r="F22">
            <v>174403.27192607825</v>
          </cell>
          <cell r="G22">
            <v>131905.492061436</v>
          </cell>
          <cell r="H22">
            <v>98920.566894478485</v>
          </cell>
          <cell r="I22">
            <v>65139.51484953452</v>
          </cell>
          <cell r="J22">
            <v>101718.86219978923</v>
          </cell>
          <cell r="K22">
            <v>93785.703894186183</v>
          </cell>
          <cell r="L22">
            <v>76590.948277539603</v>
          </cell>
          <cell r="M22">
            <v>91265.490999941772</v>
          </cell>
          <cell r="N22">
            <v>56298.0465763006</v>
          </cell>
          <cell r="O22">
            <v>89565.304606293386</v>
          </cell>
          <cell r="P22">
            <v>58011.587927812041</v>
          </cell>
          <cell r="Q22">
            <v>64759.306548468216</v>
          </cell>
          <cell r="R22">
            <v>101696.42549997276</v>
          </cell>
          <cell r="S22">
            <v>56886.567074004728</v>
          </cell>
          <cell r="T22">
            <v>39157.769035630699</v>
          </cell>
          <cell r="U22">
            <v>26329.171650478384</v>
          </cell>
          <cell r="V22">
            <v>46118.741259513306</v>
          </cell>
          <cell r="W22">
            <v>0</v>
          </cell>
          <cell r="X22">
            <v>0</v>
          </cell>
          <cell r="Y22">
            <v>0</v>
          </cell>
          <cell r="Z22">
            <v>1372552.771281458</v>
          </cell>
          <cell r="AA22">
            <v>0</v>
          </cell>
          <cell r="AB22">
            <v>15875.48421860517</v>
          </cell>
          <cell r="AC22">
            <v>16031.319982833596</v>
          </cell>
          <cell r="AD22">
            <v>14922.746955671451</v>
          </cell>
          <cell r="AE22">
            <v>46829.551157110218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</row>
        <row r="23">
          <cell r="D23" t="str">
            <v xml:space="preserve"> - 영업공통비</v>
          </cell>
          <cell r="E23">
            <v>291071.18333333335</v>
          </cell>
          <cell r="F23">
            <v>31212.185467553361</v>
          </cell>
          <cell r="G23">
            <v>23606.544974428376</v>
          </cell>
          <cell r="H23">
            <v>17703.378189915191</v>
          </cell>
          <cell r="I23">
            <v>11657.732084360654</v>
          </cell>
          <cell r="J23">
            <v>19457.267772872128</v>
          </cell>
          <cell r="K23">
            <v>17939.775519237555</v>
          </cell>
          <cell r="L23">
            <v>14650.680880476613</v>
          </cell>
          <cell r="M23">
            <v>17457.697209792404</v>
          </cell>
          <cell r="N23">
            <v>10768.958122763759</v>
          </cell>
          <cell r="O23">
            <v>17132.477469720645</v>
          </cell>
          <cell r="P23">
            <v>11096.732462696522</v>
          </cell>
          <cell r="Q23">
            <v>12387.468175019252</v>
          </cell>
          <cell r="R23">
            <v>14743.488503257193</v>
          </cell>
          <cell r="S23">
            <v>8247.1575920392843</v>
          </cell>
          <cell r="T23">
            <v>5676.9165165021104</v>
          </cell>
          <cell r="U23">
            <v>3817.0844021377848</v>
          </cell>
          <cell r="V23">
            <v>6686.0868334503029</v>
          </cell>
          <cell r="W23">
            <v>0</v>
          </cell>
          <cell r="X23">
            <v>0</v>
          </cell>
          <cell r="Y23">
            <v>0</v>
          </cell>
          <cell r="Z23">
            <v>244241.63217622315</v>
          </cell>
          <cell r="AA23">
            <v>0</v>
          </cell>
          <cell r="AB23">
            <v>15875.48421860517</v>
          </cell>
          <cell r="AC23">
            <v>16031.319982833596</v>
          </cell>
          <cell r="AD23">
            <v>14922.746955671451</v>
          </cell>
          <cell r="AE23">
            <v>46829.551157110218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</row>
        <row r="24">
          <cell r="D24" t="str">
            <v xml:space="preserve"> - 부문공통비</v>
          </cell>
          <cell r="E24">
            <v>440260.34500000003</v>
          </cell>
          <cell r="F24">
            <v>55872.316544838497</v>
          </cell>
          <cell r="G24">
            <v>42257.609763095446</v>
          </cell>
          <cell r="H24">
            <v>31690.467531284561</v>
          </cell>
          <cell r="I24">
            <v>20868.275881848251</v>
          </cell>
          <cell r="J24">
            <v>32097.988478040515</v>
          </cell>
          <cell r="K24">
            <v>29594.633462256184</v>
          </cell>
          <cell r="L24">
            <v>24168.72664684365</v>
          </cell>
          <cell r="M24">
            <v>28799.365380287469</v>
          </cell>
          <cell r="N24">
            <v>17765.181513660595</v>
          </cell>
          <cell r="O24">
            <v>28262.861509779563</v>
          </cell>
          <cell r="P24">
            <v>18305.899620096257</v>
          </cell>
          <cell r="Q24">
            <v>20435.182133239923</v>
          </cell>
          <cell r="R24">
            <v>33928.522651380823</v>
          </cell>
          <cell r="S24">
            <v>18978.810415811331</v>
          </cell>
          <cell r="T24">
            <v>13064.03098409089</v>
          </cell>
          <cell r="U24">
            <v>8784.0835343380768</v>
          </cell>
          <cell r="V24">
            <v>15386.388949108024</v>
          </cell>
          <cell r="W24">
            <v>0</v>
          </cell>
          <cell r="X24">
            <v>0</v>
          </cell>
          <cell r="Y24">
            <v>0</v>
          </cell>
          <cell r="Z24">
            <v>440260.34500000003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</row>
        <row r="25">
          <cell r="D25" t="str">
            <v xml:space="preserve"> - 본사공통비</v>
          </cell>
          <cell r="E25">
            <v>688050.79410523491</v>
          </cell>
          <cell r="F25">
            <v>87318.769913686367</v>
          </cell>
          <cell r="G25">
            <v>66041.337323912172</v>
          </cell>
          <cell r="H25">
            <v>49526.72117327874</v>
          </cell>
          <cell r="I25">
            <v>32613.506883325615</v>
          </cell>
          <cell r="J25">
            <v>50163.605948876582</v>
          </cell>
          <cell r="K25">
            <v>46251.29491269245</v>
          </cell>
          <cell r="L25">
            <v>37771.540750219334</v>
          </cell>
          <cell r="M25">
            <v>45008.428409861895</v>
          </cell>
          <cell r="N25">
            <v>27763.906939876244</v>
          </cell>
          <cell r="O25">
            <v>44169.965626793179</v>
          </cell>
          <cell r="P25">
            <v>28608.955845019264</v>
          </cell>
          <cell r="Q25">
            <v>31936.656240209046</v>
          </cell>
          <cell r="R25">
            <v>53024.414345334742</v>
          </cell>
          <cell r="S25">
            <v>29660.599066154115</v>
          </cell>
          <cell r="T25">
            <v>20416.821535037703</v>
          </cell>
          <cell r="U25">
            <v>13728.003714002523</v>
          </cell>
          <cell r="V25">
            <v>24046.265476954974</v>
          </cell>
          <cell r="W25">
            <v>0</v>
          </cell>
          <cell r="X25">
            <v>0</v>
          </cell>
          <cell r="Y25">
            <v>0</v>
          </cell>
          <cell r="Z25">
            <v>688050.79410523491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</row>
        <row r="26">
          <cell r="D26" t="str">
            <v>영업이익 II</v>
          </cell>
          <cell r="E26">
            <v>2024993.3631125023</v>
          </cell>
          <cell r="F26">
            <v>241206.43888942793</v>
          </cell>
          <cell r="G26">
            <v>105587.74317608814</v>
          </cell>
          <cell r="H26">
            <v>-8646.6814542235516</v>
          </cell>
          <cell r="I26">
            <v>19339.222131288872</v>
          </cell>
          <cell r="J26">
            <v>64628.994332455331</v>
          </cell>
          <cell r="K26">
            <v>84933.276410421066</v>
          </cell>
          <cell r="L26">
            <v>70514.075568206172</v>
          </cell>
          <cell r="M26">
            <v>49701.761930561363</v>
          </cell>
          <cell r="N26">
            <v>55249.922738805129</v>
          </cell>
          <cell r="O26">
            <v>162371.19620777637</v>
          </cell>
          <cell r="P26">
            <v>54887.798364510963</v>
          </cell>
          <cell r="Q26">
            <v>71069.243714698416</v>
          </cell>
          <cell r="R26">
            <v>180053.0989003604</v>
          </cell>
          <cell r="S26">
            <v>121745.37647714099</v>
          </cell>
          <cell r="T26">
            <v>165910.58825563418</v>
          </cell>
          <cell r="U26">
            <v>77536.169765147773</v>
          </cell>
          <cell r="V26">
            <v>103989.84689387877</v>
          </cell>
          <cell r="W26">
            <v>0</v>
          </cell>
          <cell r="X26">
            <v>0</v>
          </cell>
          <cell r="Y26">
            <v>0</v>
          </cell>
          <cell r="Z26">
            <v>1620078.0723021757</v>
          </cell>
          <cell r="AA26">
            <v>200060.5495111786</v>
          </cell>
          <cell r="AB26">
            <v>81628.816086054503</v>
          </cell>
          <cell r="AC26">
            <v>77614.008674766403</v>
          </cell>
          <cell r="AD26">
            <v>50573.899871655536</v>
          </cell>
          <cell r="AE26">
            <v>209816.72463247631</v>
          </cell>
          <cell r="AF26">
            <v>9094.6239999999998</v>
          </cell>
          <cell r="AG26">
            <v>18702.944</v>
          </cell>
          <cell r="AH26">
            <v>20481.31966666667</v>
          </cell>
          <cell r="AI26">
            <v>60383.392</v>
          </cell>
          <cell r="AJ26">
            <v>4057.6080000000002</v>
          </cell>
          <cell r="AK26">
            <v>0</v>
          </cell>
          <cell r="AL26">
            <v>112719.88766666668</v>
          </cell>
          <cell r="AM26">
            <v>-4166.2199999999993</v>
          </cell>
          <cell r="AN26">
            <v>-1166.5140000000001</v>
          </cell>
          <cell r="AO26">
            <v>-570.67200000000003</v>
          </cell>
          <cell r="AP26">
            <v>-407.20500000000004</v>
          </cell>
          <cell r="AQ26">
            <v>-26232.885000000002</v>
          </cell>
          <cell r="AR26">
            <v>-855.83600000000001</v>
          </cell>
          <cell r="AS26">
            <v>-68335.63</v>
          </cell>
          <cell r="AT26">
            <v>-15946.909</v>
          </cell>
          <cell r="AU26">
            <v>-117681.871</v>
          </cell>
        </row>
        <row r="27">
          <cell r="E27">
            <v>2024993.3631125002</v>
          </cell>
          <cell r="F27">
            <v>241206.43888942793</v>
          </cell>
          <cell r="G27">
            <v>105587.74317608814</v>
          </cell>
          <cell r="H27">
            <v>-8646.681454223537</v>
          </cell>
          <cell r="I27">
            <v>19339.222131288887</v>
          </cell>
          <cell r="J27">
            <v>64628.994332455302</v>
          </cell>
          <cell r="K27">
            <v>84933.276410421066</v>
          </cell>
          <cell r="L27">
            <v>70514.075568206143</v>
          </cell>
          <cell r="M27">
            <v>49701.761930561392</v>
          </cell>
          <cell r="N27">
            <v>55249.922738805129</v>
          </cell>
          <cell r="O27">
            <v>162371.19620777635</v>
          </cell>
          <cell r="P27">
            <v>54887.798364510963</v>
          </cell>
          <cell r="Q27">
            <v>71069.243714698416</v>
          </cell>
          <cell r="R27">
            <v>180053.0989003604</v>
          </cell>
          <cell r="S27">
            <v>121745.37647714099</v>
          </cell>
          <cell r="T27">
            <v>165910.58825563418</v>
          </cell>
          <cell r="U27">
            <v>77536.169765147773</v>
          </cell>
          <cell r="V27">
            <v>103989.84689387877</v>
          </cell>
          <cell r="W27">
            <v>0</v>
          </cell>
          <cell r="X27">
            <v>0</v>
          </cell>
          <cell r="Y27">
            <v>0</v>
          </cell>
          <cell r="Z27">
            <v>1620078.072302178</v>
          </cell>
          <cell r="AA27">
            <v>200060.54951117863</v>
          </cell>
          <cell r="AB27">
            <v>81628.816086054503</v>
          </cell>
          <cell r="AC27">
            <v>77614.008674766403</v>
          </cell>
          <cell r="AD27">
            <v>50573.899871655536</v>
          </cell>
          <cell r="AE27">
            <v>209816.72463247643</v>
          </cell>
          <cell r="AF27">
            <v>9094.6239999999998</v>
          </cell>
          <cell r="AG27">
            <v>18702.944</v>
          </cell>
          <cell r="AH27">
            <v>20481.31966666667</v>
          </cell>
          <cell r="AI27">
            <v>60383.392</v>
          </cell>
          <cell r="AJ27">
            <v>4057.6080000000002</v>
          </cell>
          <cell r="AK27">
            <v>0</v>
          </cell>
          <cell r="AL27">
            <v>112719.88766666668</v>
          </cell>
          <cell r="AM27">
            <v>-4166.2199999999993</v>
          </cell>
          <cell r="AN27">
            <v>-1166.5140000000001</v>
          </cell>
          <cell r="AO27">
            <v>-570.67200000000003</v>
          </cell>
          <cell r="AP27">
            <v>-407.20500000000004</v>
          </cell>
          <cell r="AQ27">
            <v>-26232.885000000002</v>
          </cell>
          <cell r="AR27">
            <v>-855.83600000000001</v>
          </cell>
          <cell r="AS27">
            <v>-68335.63</v>
          </cell>
          <cell r="AT27">
            <v>-15946.909</v>
          </cell>
          <cell r="AU27">
            <v>-117681.871</v>
          </cell>
        </row>
        <row r="28">
          <cell r="E28">
            <v>2.0954757928848267E-9</v>
          </cell>
          <cell r="F28">
            <v>0</v>
          </cell>
          <cell r="G28">
            <v>0</v>
          </cell>
          <cell r="H28">
            <v>-1.4551915228366852E-11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-2.3283064365386963E-9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</row>
        <row r="30">
          <cell r="E30">
            <v>395217.67736409168</v>
          </cell>
          <cell r="F30">
            <v>35000</v>
          </cell>
          <cell r="G30">
            <v>26000</v>
          </cell>
          <cell r="H30">
            <v>21000</v>
          </cell>
          <cell r="I30">
            <v>14000</v>
          </cell>
          <cell r="J30">
            <v>19000</v>
          </cell>
          <cell r="K30">
            <v>19000</v>
          </cell>
          <cell r="L30">
            <v>16000</v>
          </cell>
          <cell r="M30">
            <v>18000</v>
          </cell>
          <cell r="N30">
            <v>12000</v>
          </cell>
          <cell r="O30">
            <v>18000</v>
          </cell>
          <cell r="P30">
            <v>12000</v>
          </cell>
          <cell r="Q30">
            <v>12500</v>
          </cell>
          <cell r="R30">
            <v>21000</v>
          </cell>
          <cell r="S30">
            <v>12000</v>
          </cell>
          <cell r="T30">
            <v>7500</v>
          </cell>
          <cell r="U30">
            <v>5000</v>
          </cell>
          <cell r="V30">
            <v>8000</v>
          </cell>
          <cell r="W30">
            <v>0</v>
          </cell>
          <cell r="X30">
            <v>0</v>
          </cell>
          <cell r="Y30">
            <v>0</v>
          </cell>
          <cell r="Z30">
            <v>276000</v>
          </cell>
          <cell r="AA30">
            <v>11000</v>
          </cell>
          <cell r="AB30">
            <v>45741.815053763436</v>
          </cell>
          <cell r="AC30">
            <v>39561.554933333333</v>
          </cell>
          <cell r="AD30">
            <v>22914.307376994901</v>
          </cell>
          <cell r="AE30">
            <v>108217.67736409167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42135588.765734859</v>
          </cell>
          <cell r="F31">
            <v>3561953.5200000005</v>
          </cell>
          <cell r="G31">
            <v>2693993.2179409387</v>
          </cell>
          <cell r="H31">
            <v>2020320.2471999999</v>
          </cell>
          <cell r="I31">
            <v>1330387.45</v>
          </cell>
          <cell r="J31">
            <v>2046300.38836</v>
          </cell>
          <cell r="K31">
            <v>1886707.324000001</v>
          </cell>
          <cell r="L31">
            <v>1540796.7</v>
          </cell>
          <cell r="M31">
            <v>1836007.6551999999</v>
          </cell>
          <cell r="N31">
            <v>1132560</v>
          </cell>
          <cell r="O31">
            <v>1801804.6371719998</v>
          </cell>
          <cell r="P31">
            <v>1167031.6826086957</v>
          </cell>
          <cell r="Q31">
            <v>1302777</v>
          </cell>
          <cell r="R31">
            <v>2163000</v>
          </cell>
          <cell r="S31">
            <v>1209930.8700000001</v>
          </cell>
          <cell r="T31">
            <v>832853.8</v>
          </cell>
          <cell r="U31">
            <v>560000</v>
          </cell>
          <cell r="V31">
            <v>980908</v>
          </cell>
          <cell r="W31">
            <v>0</v>
          </cell>
          <cell r="X31">
            <v>0</v>
          </cell>
          <cell r="Y31">
            <v>0</v>
          </cell>
          <cell r="Z31">
            <v>28067332.492481634</v>
          </cell>
          <cell r="AA31">
            <v>11978568.614399999</v>
          </cell>
          <cell r="AB31">
            <v>659928.64086021506</v>
          </cell>
          <cell r="AC31">
            <v>666406.58400000003</v>
          </cell>
          <cell r="AD31">
            <v>620324.26732634299</v>
          </cell>
          <cell r="AE31">
            <v>1946659.492186558</v>
          </cell>
          <cell r="AF31">
            <v>12500</v>
          </cell>
          <cell r="AG31">
            <v>25000</v>
          </cell>
          <cell r="AH31">
            <v>29166.666666666668</v>
          </cell>
          <cell r="AI31">
            <v>69070</v>
          </cell>
          <cell r="AJ31">
            <v>5521.5</v>
          </cell>
          <cell r="AK31">
            <v>0</v>
          </cell>
          <cell r="AL31">
            <v>141258.16666666669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1770</v>
          </cell>
          <cell r="AU31">
            <v>1770</v>
          </cell>
        </row>
        <row r="32">
          <cell r="D32" t="str">
            <v>매출원가</v>
          </cell>
          <cell r="E32">
            <v>37829686.438183792</v>
          </cell>
          <cell r="F32">
            <v>3077447.3271844941</v>
          </cell>
          <cell r="G32">
            <v>2394737.5377034144</v>
          </cell>
          <cell r="H32">
            <v>1879062.794759745</v>
          </cell>
          <cell r="I32">
            <v>1208800.4650191765</v>
          </cell>
          <cell r="J32">
            <v>1832911.0258277555</v>
          </cell>
          <cell r="K32">
            <v>1658935.8016953936</v>
          </cell>
          <cell r="L32">
            <v>1355176.4071542541</v>
          </cell>
          <cell r="M32">
            <v>1644432.7672694968</v>
          </cell>
          <cell r="N32">
            <v>993092.69468489429</v>
          </cell>
          <cell r="O32">
            <v>1512736.90035793</v>
          </cell>
          <cell r="P32">
            <v>1016454.6383163726</v>
          </cell>
          <cell r="Q32">
            <v>1130122.5847368333</v>
          </cell>
          <cell r="R32">
            <v>1835038.6345996668</v>
          </cell>
          <cell r="S32">
            <v>1001245.2524488544</v>
          </cell>
          <cell r="T32">
            <v>616358.55370873515</v>
          </cell>
          <cell r="U32">
            <v>444277.03858437383</v>
          </cell>
          <cell r="V32">
            <v>814860.48184660799</v>
          </cell>
          <cell r="W32">
            <v>0</v>
          </cell>
          <cell r="X32">
            <v>0</v>
          </cell>
          <cell r="Y32">
            <v>0</v>
          </cell>
          <cell r="Z32">
            <v>24415690.905898001</v>
          </cell>
          <cell r="AA32">
            <v>11655606.716888821</v>
          </cell>
          <cell r="AB32">
            <v>562424.34055555542</v>
          </cell>
          <cell r="AC32">
            <v>572761.25534240005</v>
          </cell>
          <cell r="AD32">
            <v>554827.62049901602</v>
          </cell>
          <cell r="AE32">
            <v>1690013.2163969714</v>
          </cell>
          <cell r="AF32">
            <v>3405.3759999999997</v>
          </cell>
          <cell r="AG32">
            <v>6297.0560000000005</v>
          </cell>
          <cell r="AH32">
            <v>8685.3469999999998</v>
          </cell>
          <cell r="AI32">
            <v>8686.6080000000002</v>
          </cell>
          <cell r="AJ32">
            <v>1463.8920000000001</v>
          </cell>
          <cell r="AK32">
            <v>0</v>
          </cell>
          <cell r="AL32">
            <v>28538.279000000002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39837.32</v>
          </cell>
          <cell r="AT32">
            <v>0</v>
          </cell>
          <cell r="AU32">
            <v>39837.32</v>
          </cell>
        </row>
        <row r="33">
          <cell r="D33" t="str">
            <v>매출이익</v>
          </cell>
          <cell r="E33">
            <v>4305902.327551065</v>
          </cell>
          <cell r="F33">
            <v>484506.19281550637</v>
          </cell>
          <cell r="G33">
            <v>299255.68023752421</v>
          </cell>
          <cell r="H33">
            <v>141257.45244025486</v>
          </cell>
          <cell r="I33">
            <v>121586.98498082347</v>
          </cell>
          <cell r="J33">
            <v>213389.36253224453</v>
          </cell>
          <cell r="K33">
            <v>227771.52230460732</v>
          </cell>
          <cell r="L33">
            <v>185620.2928457458</v>
          </cell>
          <cell r="M33">
            <v>191574.88793050312</v>
          </cell>
          <cell r="N33">
            <v>139467.30531510571</v>
          </cell>
          <cell r="O33">
            <v>289067.73681406979</v>
          </cell>
          <cell r="P33">
            <v>150577.04429232306</v>
          </cell>
          <cell r="Q33">
            <v>172654.41526316665</v>
          </cell>
          <cell r="R33">
            <v>327961.36540033319</v>
          </cell>
          <cell r="S33">
            <v>208685.61755114573</v>
          </cell>
          <cell r="T33">
            <v>216495.24629126489</v>
          </cell>
          <cell r="U33">
            <v>115722.96141562617</v>
          </cell>
          <cell r="V33">
            <v>166047.51815339201</v>
          </cell>
          <cell r="W33">
            <v>0</v>
          </cell>
          <cell r="X33">
            <v>0</v>
          </cell>
          <cell r="Y33">
            <v>0</v>
          </cell>
          <cell r="Z33">
            <v>3651641.586583633</v>
          </cell>
          <cell r="AA33">
            <v>322961.89751117863</v>
          </cell>
          <cell r="AB33">
            <v>97504.300304659642</v>
          </cell>
          <cell r="AC33">
            <v>93645.328657599981</v>
          </cell>
          <cell r="AD33">
            <v>65496.646827326971</v>
          </cell>
          <cell r="AE33">
            <v>256646.27578958659</v>
          </cell>
          <cell r="AF33">
            <v>9094.6239999999998</v>
          </cell>
          <cell r="AG33">
            <v>18702.944</v>
          </cell>
          <cell r="AH33">
            <v>20481.31966666667</v>
          </cell>
          <cell r="AI33">
            <v>60383.392</v>
          </cell>
          <cell r="AJ33">
            <v>4057.6080000000002</v>
          </cell>
          <cell r="AK33">
            <v>0</v>
          </cell>
          <cell r="AL33">
            <v>112719.88766666668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-39837.32</v>
          </cell>
          <cell r="AT33">
            <v>1770</v>
          </cell>
          <cell r="AU33">
            <v>-38067.32</v>
          </cell>
        </row>
        <row r="34">
          <cell r="D34" t="str">
            <v>판관비</v>
          </cell>
          <cell r="E34">
            <v>2280908.9644385683</v>
          </cell>
          <cell r="F34">
            <v>243299.75392607824</v>
          </cell>
          <cell r="G34">
            <v>193667.93706143601</v>
          </cell>
          <cell r="H34">
            <v>149904.13389447849</v>
          </cell>
          <cell r="I34">
            <v>102247.76284953453</v>
          </cell>
          <cell r="J34">
            <v>148760.36819978923</v>
          </cell>
          <cell r="K34">
            <v>142838.2458941862</v>
          </cell>
          <cell r="L34">
            <v>115106.2172775396</v>
          </cell>
          <cell r="M34">
            <v>141873.12599994178</v>
          </cell>
          <cell r="N34">
            <v>84217.382576300588</v>
          </cell>
          <cell r="O34">
            <v>126696.54060629339</v>
          </cell>
          <cell r="P34">
            <v>95689.245927812051</v>
          </cell>
          <cell r="Q34">
            <v>101585.17154846821</v>
          </cell>
          <cell r="R34">
            <v>147908.26649997276</v>
          </cell>
          <cell r="S34">
            <v>86940.241074004734</v>
          </cell>
          <cell r="T34">
            <v>50584.658035630695</v>
          </cell>
          <cell r="U34">
            <v>38186.791650478386</v>
          </cell>
          <cell r="V34">
            <v>62057.671259513307</v>
          </cell>
          <cell r="W34">
            <v>0</v>
          </cell>
          <cell r="X34">
            <v>0</v>
          </cell>
          <cell r="Y34">
            <v>0</v>
          </cell>
          <cell r="Z34">
            <v>2031563.514281458</v>
          </cell>
          <cell r="AA34">
            <v>122901.34800000001</v>
          </cell>
          <cell r="AB34">
            <v>15875.48421860517</v>
          </cell>
          <cell r="AC34">
            <v>16031.319982833596</v>
          </cell>
          <cell r="AD34">
            <v>14922.746955671451</v>
          </cell>
          <cell r="AE34">
            <v>46829.551157110218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4166.2199999999993</v>
          </cell>
          <cell r="AN34">
            <v>1166.5140000000001</v>
          </cell>
          <cell r="AO34">
            <v>570.67200000000003</v>
          </cell>
          <cell r="AP34">
            <v>407.20500000000004</v>
          </cell>
          <cell r="AQ34">
            <v>26232.885000000002</v>
          </cell>
          <cell r="AR34">
            <v>855.83600000000001</v>
          </cell>
          <cell r="AS34">
            <v>28498.31</v>
          </cell>
          <cell r="AT34">
            <v>17716.909</v>
          </cell>
          <cell r="AU34">
            <v>79614.550999999992</v>
          </cell>
        </row>
        <row r="35">
          <cell r="D35" t="str">
            <v>영업이익</v>
          </cell>
          <cell r="E35">
            <v>2024993.3631124969</v>
          </cell>
          <cell r="F35">
            <v>241206.43888942813</v>
          </cell>
          <cell r="G35">
            <v>105587.7431760882</v>
          </cell>
          <cell r="H35">
            <v>-8646.6814542236389</v>
          </cell>
          <cell r="I35">
            <v>19339.222131288945</v>
          </cell>
          <cell r="J35">
            <v>64628.994332455302</v>
          </cell>
          <cell r="K35">
            <v>84933.276410421124</v>
          </cell>
          <cell r="L35">
            <v>70514.075568206201</v>
          </cell>
          <cell r="M35">
            <v>49701.761930561333</v>
          </cell>
          <cell r="N35">
            <v>55249.922738805122</v>
          </cell>
          <cell r="O35">
            <v>162371.1962077764</v>
          </cell>
          <cell r="P35">
            <v>54887.798364511007</v>
          </cell>
          <cell r="Q35">
            <v>71069.243714698445</v>
          </cell>
          <cell r="R35">
            <v>180053.09890036043</v>
          </cell>
          <cell r="S35">
            <v>121745.37647714099</v>
          </cell>
          <cell r="T35">
            <v>165910.58825563418</v>
          </cell>
          <cell r="U35">
            <v>77536.169765147788</v>
          </cell>
          <cell r="V35">
            <v>103989.84689387871</v>
          </cell>
          <cell r="W35">
            <v>0</v>
          </cell>
          <cell r="X35">
            <v>0</v>
          </cell>
          <cell r="Y35">
            <v>0</v>
          </cell>
          <cell r="Z35">
            <v>1620078.072302175</v>
          </cell>
          <cell r="AA35">
            <v>200060.54951117863</v>
          </cell>
          <cell r="AB35">
            <v>81628.816086054474</v>
          </cell>
          <cell r="AC35">
            <v>77614.008674766388</v>
          </cell>
          <cell r="AD35">
            <v>50573.899871655522</v>
          </cell>
          <cell r="AE35">
            <v>209816.72463247637</v>
          </cell>
          <cell r="AF35">
            <v>9094.6239999999998</v>
          </cell>
          <cell r="AG35">
            <v>18702.944</v>
          </cell>
          <cell r="AH35">
            <v>20481.31966666667</v>
          </cell>
          <cell r="AI35">
            <v>60383.392</v>
          </cell>
          <cell r="AJ35">
            <v>4057.6080000000002</v>
          </cell>
          <cell r="AK35">
            <v>0</v>
          </cell>
          <cell r="AL35">
            <v>112719.88766666668</v>
          </cell>
          <cell r="AM35">
            <v>-4166.2199999999993</v>
          </cell>
          <cell r="AN35">
            <v>-1166.5140000000001</v>
          </cell>
          <cell r="AO35">
            <v>-570.67200000000003</v>
          </cell>
          <cell r="AP35">
            <v>-407.20500000000004</v>
          </cell>
          <cell r="AQ35">
            <v>-26232.885000000002</v>
          </cell>
          <cell r="AR35">
            <v>-855.83600000000001</v>
          </cell>
          <cell r="AS35">
            <v>-68335.63</v>
          </cell>
          <cell r="AT35">
            <v>-15946.909</v>
          </cell>
          <cell r="AU35">
            <v>-117681.87099999998</v>
          </cell>
        </row>
      </sheetData>
      <sheetData sheetId="12">
        <row r="7">
          <cell r="Z7">
            <v>310500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부산시그마</v>
          </cell>
          <cell r="AS6" t="str">
            <v>임금인상</v>
          </cell>
          <cell r="AT6" t="str">
            <v>기타</v>
          </cell>
          <cell r="AU6" t="str">
            <v>기타 계</v>
          </cell>
        </row>
        <row r="7">
          <cell r="D7" t="str">
            <v>물     량</v>
          </cell>
          <cell r="F7">
            <v>378000</v>
          </cell>
          <cell r="G7">
            <v>276000</v>
          </cell>
          <cell r="H7">
            <v>206000</v>
          </cell>
          <cell r="I7">
            <v>139000</v>
          </cell>
          <cell r="J7">
            <v>197000</v>
          </cell>
          <cell r="K7">
            <v>194000</v>
          </cell>
          <cell r="L7">
            <v>138000</v>
          </cell>
          <cell r="M7">
            <v>188000</v>
          </cell>
          <cell r="N7">
            <v>114000</v>
          </cell>
          <cell r="O7">
            <v>122000</v>
          </cell>
          <cell r="P7">
            <v>121000</v>
          </cell>
          <cell r="Q7">
            <v>119500</v>
          </cell>
          <cell r="R7">
            <v>219000</v>
          </cell>
          <cell r="S7">
            <v>107000</v>
          </cell>
          <cell r="T7">
            <v>70000</v>
          </cell>
          <cell r="U7">
            <v>45000</v>
          </cell>
          <cell r="V7">
            <v>81000</v>
          </cell>
          <cell r="W7">
            <v>0</v>
          </cell>
          <cell r="X7">
            <v>0</v>
          </cell>
          <cell r="Y7">
            <v>0</v>
          </cell>
          <cell r="Z7">
            <v>2714500</v>
          </cell>
          <cell r="AA7">
            <v>111900</v>
          </cell>
          <cell r="AB7">
            <v>482089.73749247316</v>
          </cell>
          <cell r="AC7">
            <v>280671.8404333333</v>
          </cell>
          <cell r="AD7">
            <v>208702.18629172962</v>
          </cell>
          <cell r="AE7">
            <v>971463.76421753597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D8" t="str">
            <v>매 출 액</v>
          </cell>
          <cell r="E8">
            <v>415394140.26492935</v>
          </cell>
          <cell r="F8">
            <v>37495540.346000001</v>
          </cell>
          <cell r="G8">
            <v>27389032.866908431</v>
          </cell>
          <cell r="H8">
            <v>19889699.183200002</v>
          </cell>
          <cell r="I8">
            <v>13191318.670000002</v>
          </cell>
          <cell r="J8">
            <v>21216895.507196002</v>
          </cell>
          <cell r="K8">
            <v>19264206.073580019</v>
          </cell>
          <cell r="L8">
            <v>13289382.549999999</v>
          </cell>
          <cell r="M8">
            <v>19175989.316800002</v>
          </cell>
          <cell r="N8">
            <v>10775348.5</v>
          </cell>
          <cell r="O8">
            <v>12277033.692960002</v>
          </cell>
          <cell r="P8">
            <v>11745128.440748312</v>
          </cell>
          <cell r="Q8">
            <v>12245449</v>
          </cell>
          <cell r="R8">
            <v>22557000</v>
          </cell>
          <cell r="S8">
            <v>10547622.8266</v>
          </cell>
          <cell r="T8">
            <v>7768462.9830000009</v>
          </cell>
          <cell r="U8">
            <v>5040000</v>
          </cell>
          <cell r="V8">
            <v>9949836.5</v>
          </cell>
          <cell r="W8">
            <v>0</v>
          </cell>
          <cell r="X8">
            <v>0</v>
          </cell>
          <cell r="Y8">
            <v>0</v>
          </cell>
          <cell r="Z8">
            <v>273817946.45699275</v>
          </cell>
          <cell r="AA8">
            <v>122183477.48479998</v>
          </cell>
          <cell r="AB8">
            <v>7040305.0687462362</v>
          </cell>
          <cell r="AC8">
            <v>4785857.700116666</v>
          </cell>
          <cell r="AD8">
            <v>6067051.8876070669</v>
          </cell>
          <cell r="AE8">
            <v>17893214.656469971</v>
          </cell>
          <cell r="AF8">
            <v>125000</v>
          </cell>
          <cell r="AG8">
            <v>325000</v>
          </cell>
          <cell r="AH8">
            <v>289186.66666666663</v>
          </cell>
          <cell r="AI8">
            <v>687400</v>
          </cell>
          <cell r="AJ8">
            <v>55215</v>
          </cell>
          <cell r="AK8">
            <v>0</v>
          </cell>
          <cell r="AL8">
            <v>1481801.6666666665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17700</v>
          </cell>
          <cell r="AU8">
            <v>17700</v>
          </cell>
        </row>
        <row r="9">
          <cell r="D9" t="str">
            <v xml:space="preserve"> - 단  위  당</v>
          </cell>
          <cell r="F9">
            <v>99194.551179894173</v>
          </cell>
          <cell r="G9">
            <v>99235.62632937837</v>
          </cell>
          <cell r="H9">
            <v>96551.93778252427</v>
          </cell>
          <cell r="I9">
            <v>94901.573165467635</v>
          </cell>
          <cell r="J9">
            <v>107699.97719388834</v>
          </cell>
          <cell r="K9">
            <v>99300.031307113502</v>
          </cell>
          <cell r="L9">
            <v>96299.873550724631</v>
          </cell>
          <cell r="M9">
            <v>101999.94317446811</v>
          </cell>
          <cell r="N9">
            <v>94520.600877192977</v>
          </cell>
          <cell r="O9">
            <v>100631.4237127869</v>
          </cell>
          <cell r="P9">
            <v>97067.177196267032</v>
          </cell>
          <cell r="Q9">
            <v>102472.37656903766</v>
          </cell>
          <cell r="R9">
            <v>103000</v>
          </cell>
          <cell r="S9">
            <v>98575.914267289714</v>
          </cell>
          <cell r="T9">
            <v>110978.04261428573</v>
          </cell>
          <cell r="U9">
            <v>112000</v>
          </cell>
          <cell r="V9">
            <v>122837.48765432098</v>
          </cell>
          <cell r="W9">
            <v>0</v>
          </cell>
          <cell r="X9">
            <v>0</v>
          </cell>
          <cell r="Y9">
            <v>0</v>
          </cell>
          <cell r="Z9">
            <v>100872.33245790855</v>
          </cell>
          <cell r="AA9">
            <v>1091898.8157712242</v>
          </cell>
          <cell r="AB9">
            <v>14603.723168564973</v>
          </cell>
          <cell r="AC9">
            <v>17051.435201791926</v>
          </cell>
          <cell r="AD9">
            <v>29070.380121108919</v>
          </cell>
          <cell r="AE9">
            <v>18418.818401201028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D10" t="str">
            <v>매출원가</v>
          </cell>
          <cell r="E10">
            <v>371845339.82045686</v>
          </cell>
          <cell r="F10">
            <v>32987417.760765903</v>
          </cell>
          <cell r="G10">
            <v>24927306.56818141</v>
          </cell>
          <cell r="H10">
            <v>18165584.508385286</v>
          </cell>
          <cell r="I10">
            <v>11795973.500271743</v>
          </cell>
          <cell r="J10">
            <v>18480921.795230601</v>
          </cell>
          <cell r="K10">
            <v>16757079.662562003</v>
          </cell>
          <cell r="L10">
            <v>11618840.805629775</v>
          </cell>
          <cell r="M10">
            <v>16863755.960367974</v>
          </cell>
          <cell r="N10">
            <v>9464501.5768413469</v>
          </cell>
          <cell r="O10">
            <v>10491179.421666525</v>
          </cell>
          <cell r="P10">
            <v>10119885.805617273</v>
          </cell>
          <cell r="Q10">
            <v>10782781.567883268</v>
          </cell>
          <cell r="R10">
            <v>18903650.517608047</v>
          </cell>
          <cell r="S10">
            <v>8851498.9441833552</v>
          </cell>
          <cell r="T10">
            <v>5697438.5628370838</v>
          </cell>
          <cell r="U10">
            <v>4054740.6521672443</v>
          </cell>
          <cell r="V10">
            <v>8076386.421839729</v>
          </cell>
          <cell r="W10">
            <v>0</v>
          </cell>
          <cell r="X10">
            <v>0</v>
          </cell>
          <cell r="Y10">
            <v>0</v>
          </cell>
          <cell r="Z10">
            <v>238038944.03203857</v>
          </cell>
          <cell r="AA10">
            <v>118884988.65742464</v>
          </cell>
          <cell r="AB10">
            <v>5476400.0890099993</v>
          </cell>
          <cell r="AC10">
            <v>4197838.0982810669</v>
          </cell>
          <cell r="AD10">
            <v>4860276.1937026121</v>
          </cell>
          <cell r="AE10">
            <v>14534514.380993679</v>
          </cell>
          <cell r="AF10">
            <v>1333.4</v>
          </cell>
          <cell r="AG10">
            <v>40834.229999999996</v>
          </cell>
          <cell r="AH10">
            <v>22684.559999999998</v>
          </cell>
          <cell r="AI10">
            <v>1892</v>
          </cell>
          <cell r="AJ10">
            <v>1450</v>
          </cell>
          <cell r="AK10">
            <v>0</v>
          </cell>
          <cell r="AL10">
            <v>68194.19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318698.56</v>
          </cell>
          <cell r="AT10">
            <v>0</v>
          </cell>
          <cell r="AU10">
            <v>318698.56</v>
          </cell>
        </row>
        <row r="11">
          <cell r="D11" t="str">
            <v xml:space="preserve"> - 단  위  당</v>
          </cell>
          <cell r="F11">
            <v>87268.300954407154</v>
          </cell>
          <cell r="G11">
            <v>90316.328145584819</v>
          </cell>
          <cell r="H11">
            <v>88182.449069831477</v>
          </cell>
          <cell r="I11">
            <v>84863.118706990965</v>
          </cell>
          <cell r="J11">
            <v>93811.785762591884</v>
          </cell>
          <cell r="K11">
            <v>86376.699291556724</v>
          </cell>
          <cell r="L11">
            <v>84194.498591520096</v>
          </cell>
          <cell r="M11">
            <v>89700.829576425385</v>
          </cell>
          <cell r="N11">
            <v>83021.943656503034</v>
          </cell>
          <cell r="O11">
            <v>85993.273948086266</v>
          </cell>
          <cell r="P11">
            <v>83635.419881134483</v>
          </cell>
          <cell r="Q11">
            <v>90232.481739608949</v>
          </cell>
          <cell r="R11">
            <v>86318.038893187419</v>
          </cell>
          <cell r="S11">
            <v>82724.289197975275</v>
          </cell>
          <cell r="T11">
            <v>81391.979469101207</v>
          </cell>
          <cell r="U11">
            <v>90105.347825938763</v>
          </cell>
          <cell r="V11">
            <v>99708.474343700364</v>
          </cell>
          <cell r="W11">
            <v>0</v>
          </cell>
          <cell r="X11">
            <v>0</v>
          </cell>
          <cell r="Y11">
            <v>0</v>
          </cell>
          <cell r="Z11">
            <v>87691.635303753385</v>
          </cell>
          <cell r="AA11">
            <v>1062421.7038197019</v>
          </cell>
          <cell r="AB11">
            <v>11359.710989689969</v>
          </cell>
          <cell r="AC11">
            <v>14956.392104743974</v>
          </cell>
          <cell r="AD11">
            <v>23288.094293889117</v>
          </cell>
          <cell r="AE11">
            <v>14961.458076308674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D12" t="str">
            <v>매출이익</v>
          </cell>
          <cell r="E12">
            <v>43548800.444472492</v>
          </cell>
          <cell r="F12">
            <v>4508122.5852340981</v>
          </cell>
          <cell r="G12">
            <v>2461726.2987270206</v>
          </cell>
          <cell r="H12">
            <v>1724114.674814716</v>
          </cell>
          <cell r="I12">
            <v>1395345.1697282586</v>
          </cell>
          <cell r="J12">
            <v>2735973.7119654007</v>
          </cell>
          <cell r="K12">
            <v>2507126.4110180158</v>
          </cell>
          <cell r="L12">
            <v>1670541.744370224</v>
          </cell>
          <cell r="M12">
            <v>2312233.3564320281</v>
          </cell>
          <cell r="N12">
            <v>1310846.9231586531</v>
          </cell>
          <cell r="O12">
            <v>1785854.2712934762</v>
          </cell>
          <cell r="P12">
            <v>1625242.6351310387</v>
          </cell>
          <cell r="Q12">
            <v>1462667.432116732</v>
          </cell>
          <cell r="R12">
            <v>3653349.4823919535</v>
          </cell>
          <cell r="S12">
            <v>1696123.8824166451</v>
          </cell>
          <cell r="T12">
            <v>2071024.4201629171</v>
          </cell>
          <cell r="U12">
            <v>985259.34783275565</v>
          </cell>
          <cell r="V12">
            <v>1873450.078160271</v>
          </cell>
          <cell r="W12">
            <v>0</v>
          </cell>
          <cell r="X12">
            <v>0</v>
          </cell>
          <cell r="Y12">
            <v>0</v>
          </cell>
          <cell r="Z12">
            <v>35779002.424954176</v>
          </cell>
          <cell r="AA12">
            <v>3298488.8273753375</v>
          </cell>
          <cell r="AB12">
            <v>1563904.9797362369</v>
          </cell>
          <cell r="AC12">
            <v>588019.60183559917</v>
          </cell>
          <cell r="AD12">
            <v>1206775.6939044548</v>
          </cell>
          <cell r="AE12">
            <v>3358700.2754762918</v>
          </cell>
          <cell r="AF12">
            <v>123666.6</v>
          </cell>
          <cell r="AG12">
            <v>284165.77</v>
          </cell>
          <cell r="AH12">
            <v>266502.10666666663</v>
          </cell>
          <cell r="AI12">
            <v>685508</v>
          </cell>
          <cell r="AJ12">
            <v>53765</v>
          </cell>
          <cell r="AK12">
            <v>0</v>
          </cell>
          <cell r="AL12">
            <v>1413607.4766666666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-318698.56</v>
          </cell>
          <cell r="AT12">
            <v>17700</v>
          </cell>
          <cell r="AU12">
            <v>-300998.56</v>
          </cell>
        </row>
        <row r="13">
          <cell r="D13" t="str">
            <v>판 관 비</v>
          </cell>
          <cell r="E13">
            <v>8135509.0899999999</v>
          </cell>
          <cell r="F13">
            <v>684058.71999999986</v>
          </cell>
          <cell r="G13">
            <v>620632.26</v>
          </cell>
          <cell r="H13">
            <v>501509.22000000003</v>
          </cell>
          <cell r="I13">
            <v>354461.38</v>
          </cell>
          <cell r="J13">
            <v>460701.93999999994</v>
          </cell>
          <cell r="K13">
            <v>487671.3299999999</v>
          </cell>
          <cell r="L13">
            <v>378281.29</v>
          </cell>
          <cell r="M13">
            <v>494847.65000000014</v>
          </cell>
          <cell r="N13">
            <v>278883.48</v>
          </cell>
          <cell r="O13">
            <v>364638.62</v>
          </cell>
          <cell r="P13">
            <v>387125.55</v>
          </cell>
          <cell r="Q13">
            <v>362283.42000000004</v>
          </cell>
          <cell r="R13">
            <v>454447.3600000001</v>
          </cell>
          <cell r="S13">
            <v>305801.43999999994</v>
          </cell>
          <cell r="T13">
            <v>117079.27999999997</v>
          </cell>
          <cell r="U13">
            <v>122145.24</v>
          </cell>
          <cell r="V13">
            <v>156492.49</v>
          </cell>
          <cell r="W13">
            <v>0</v>
          </cell>
          <cell r="X13">
            <v>0</v>
          </cell>
          <cell r="Y13">
            <v>0</v>
          </cell>
          <cell r="Z13">
            <v>6531060.6699999999</v>
          </cell>
          <cell r="AA13">
            <v>1228498.5000000002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46019.47</v>
          </cell>
          <cell r="AN13">
            <v>8974.66</v>
          </cell>
          <cell r="AO13">
            <v>2713.12</v>
          </cell>
          <cell r="AP13">
            <v>10650.19</v>
          </cell>
          <cell r="AQ13">
            <v>79606</v>
          </cell>
          <cell r="AR13">
            <v>0</v>
          </cell>
          <cell r="AS13">
            <v>227986.48</v>
          </cell>
          <cell r="AT13">
            <v>0</v>
          </cell>
          <cell r="AU13">
            <v>375949.92000000004</v>
          </cell>
        </row>
        <row r="14">
          <cell r="D14" t="str">
            <v xml:space="preserve"> - 노   무   비</v>
          </cell>
          <cell r="E14">
            <v>5806700.7599999998</v>
          </cell>
          <cell r="F14">
            <v>495334.95999999985</v>
          </cell>
          <cell r="G14">
            <v>432255.78</v>
          </cell>
          <cell r="H14">
            <v>371652.5</v>
          </cell>
          <cell r="I14">
            <v>261704.94000000003</v>
          </cell>
          <cell r="J14">
            <v>330834.7</v>
          </cell>
          <cell r="K14">
            <v>361546.41999999993</v>
          </cell>
          <cell r="L14">
            <v>279113.48</v>
          </cell>
          <cell r="M14">
            <v>351100.9800000001</v>
          </cell>
          <cell r="N14">
            <v>203135.59999999998</v>
          </cell>
          <cell r="O14">
            <v>271343.72000000003</v>
          </cell>
          <cell r="P14">
            <v>272828.72000000003</v>
          </cell>
          <cell r="Q14">
            <v>268743.10000000003</v>
          </cell>
          <cell r="R14">
            <v>330734.92000000004</v>
          </cell>
          <cell r="S14">
            <v>221419.29999999996</v>
          </cell>
          <cell r="T14">
            <v>75307.939999999973</v>
          </cell>
          <cell r="U14">
            <v>73475</v>
          </cell>
          <cell r="V14">
            <v>108070.3</v>
          </cell>
          <cell r="W14">
            <v>0</v>
          </cell>
          <cell r="X14">
            <v>0</v>
          </cell>
          <cell r="Y14">
            <v>0</v>
          </cell>
          <cell r="Z14">
            <v>4708602.3600000003</v>
          </cell>
          <cell r="AA14">
            <v>887726.88000000024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210371.52000000002</v>
          </cell>
          <cell r="AT14">
            <v>0</v>
          </cell>
          <cell r="AU14">
            <v>210371.52000000002</v>
          </cell>
        </row>
        <row r="15">
          <cell r="D15" t="str">
            <v xml:space="preserve"> - 경        비</v>
          </cell>
          <cell r="E15">
            <v>2328808.3299999996</v>
          </cell>
          <cell r="F15">
            <v>188723.76</v>
          </cell>
          <cell r="G15">
            <v>188376.47999999998</v>
          </cell>
          <cell r="H15">
            <v>129856.72000000003</v>
          </cell>
          <cell r="I15">
            <v>92756.44</v>
          </cell>
          <cell r="J15">
            <v>129867.23999999996</v>
          </cell>
          <cell r="K15">
            <v>126124.90999999997</v>
          </cell>
          <cell r="L15">
            <v>99167.810000000012</v>
          </cell>
          <cell r="M15">
            <v>143746.67000000001</v>
          </cell>
          <cell r="N15">
            <v>75747.87999999999</v>
          </cell>
          <cell r="O15">
            <v>93294.9</v>
          </cell>
          <cell r="P15">
            <v>114296.82999999996</v>
          </cell>
          <cell r="Q15">
            <v>93540.32</v>
          </cell>
          <cell r="R15">
            <v>123712.44000000003</v>
          </cell>
          <cell r="S15">
            <v>84382.14</v>
          </cell>
          <cell r="T15">
            <v>41771.340000000004</v>
          </cell>
          <cell r="U15">
            <v>48670.240000000005</v>
          </cell>
          <cell r="V15">
            <v>48422.189999999995</v>
          </cell>
          <cell r="W15">
            <v>0</v>
          </cell>
          <cell r="X15">
            <v>0</v>
          </cell>
          <cell r="Y15">
            <v>0</v>
          </cell>
          <cell r="Z15">
            <v>1822458.3099999996</v>
          </cell>
          <cell r="AA15">
            <v>340771.62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46019.47</v>
          </cell>
          <cell r="AN15">
            <v>8974.66</v>
          </cell>
          <cell r="AO15">
            <v>2713.12</v>
          </cell>
          <cell r="AP15">
            <v>10650.19</v>
          </cell>
          <cell r="AQ15">
            <v>79606</v>
          </cell>
          <cell r="AR15">
            <v>0</v>
          </cell>
          <cell r="AS15">
            <v>17614.959999999995</v>
          </cell>
          <cell r="AT15">
            <v>0</v>
          </cell>
          <cell r="AU15">
            <v>165578.4</v>
          </cell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</row>
        <row r="17">
          <cell r="D17" t="str">
            <v>EBITDA</v>
          </cell>
          <cell r="E17">
            <v>35413291.354472488</v>
          </cell>
          <cell r="F17">
            <v>3824063.8652340984</v>
          </cell>
          <cell r="G17">
            <v>1841094.0387270206</v>
          </cell>
          <cell r="H17">
            <v>1222605.454814716</v>
          </cell>
          <cell r="I17">
            <v>1040883.7897282586</v>
          </cell>
          <cell r="J17">
            <v>2275271.7719654008</v>
          </cell>
          <cell r="K17">
            <v>2019455.081018016</v>
          </cell>
          <cell r="L17">
            <v>1292260.4543702239</v>
          </cell>
          <cell r="M17">
            <v>1817385.706432028</v>
          </cell>
          <cell r="N17">
            <v>1031963.4431586531</v>
          </cell>
          <cell r="O17">
            <v>1421215.6512934761</v>
          </cell>
          <cell r="P17">
            <v>1238117.0851310387</v>
          </cell>
          <cell r="Q17">
            <v>1100384.0121167321</v>
          </cell>
          <cell r="R17">
            <v>3198902.1223919531</v>
          </cell>
          <cell r="S17">
            <v>1390322.4424166451</v>
          </cell>
          <cell r="T17">
            <v>1953945.1401629171</v>
          </cell>
          <cell r="U17">
            <v>863114.10783275566</v>
          </cell>
          <cell r="V17">
            <v>1716957.5881602711</v>
          </cell>
          <cell r="W17">
            <v>0</v>
          </cell>
          <cell r="X17">
            <v>0</v>
          </cell>
          <cell r="Y17">
            <v>0</v>
          </cell>
          <cell r="Z17">
            <v>29247941.754954174</v>
          </cell>
          <cell r="AA17">
            <v>2069990.3273753372</v>
          </cell>
          <cell r="AB17">
            <v>1563904.9797362369</v>
          </cell>
          <cell r="AC17">
            <v>588019.60183559917</v>
          </cell>
          <cell r="AD17">
            <v>1206775.6939044548</v>
          </cell>
          <cell r="AE17">
            <v>3358700.2754762918</v>
          </cell>
          <cell r="AF17">
            <v>123666.6</v>
          </cell>
          <cell r="AG17">
            <v>284165.77</v>
          </cell>
          <cell r="AH17">
            <v>266502.10666666663</v>
          </cell>
          <cell r="AI17">
            <v>685508</v>
          </cell>
          <cell r="AJ17">
            <v>53765</v>
          </cell>
          <cell r="AK17">
            <v>0</v>
          </cell>
          <cell r="AL17">
            <v>1413607.4766666666</v>
          </cell>
          <cell r="AM17">
            <v>-46019.47</v>
          </cell>
          <cell r="AN17">
            <v>-8974.66</v>
          </cell>
          <cell r="AO17">
            <v>-2713.12</v>
          </cell>
          <cell r="AP17">
            <v>-10650.19</v>
          </cell>
          <cell r="AQ17">
            <v>-79606</v>
          </cell>
          <cell r="AR17">
            <v>0</v>
          </cell>
          <cell r="AS17">
            <v>-546685.04</v>
          </cell>
          <cell r="AT17">
            <v>17700</v>
          </cell>
          <cell r="AU17">
            <v>-676948.47999999998</v>
          </cell>
        </row>
        <row r="18">
          <cell r="D18" t="str">
            <v>감가상각비</v>
          </cell>
          <cell r="E18">
            <v>5440805.3151790109</v>
          </cell>
          <cell r="F18">
            <v>297023.76366666664</v>
          </cell>
          <cell r="G18">
            <v>355584.82350577781</v>
          </cell>
          <cell r="H18">
            <v>207503.78966666665</v>
          </cell>
          <cell r="I18">
            <v>184899.12777777779</v>
          </cell>
          <cell r="J18">
            <v>478608.25733333343</v>
          </cell>
          <cell r="K18">
            <v>207110.63722222223</v>
          </cell>
          <cell r="L18">
            <v>135923.11522222223</v>
          </cell>
          <cell r="M18">
            <v>256103.15688888886</v>
          </cell>
          <cell r="N18">
            <v>116485.34044444443</v>
          </cell>
          <cell r="O18">
            <v>317586.37444444437</v>
          </cell>
          <cell r="P18">
            <v>160136.96092026448</v>
          </cell>
          <cell r="Q18">
            <v>153138.28588616062</v>
          </cell>
          <cell r="R18">
            <v>334324.53433333331</v>
          </cell>
          <cell r="S18">
            <v>215115.5333333333</v>
          </cell>
          <cell r="T18">
            <v>114067.59666666668</v>
          </cell>
          <cell r="U18">
            <v>60154.711111111115</v>
          </cell>
          <cell r="V18">
            <v>123798.87931125207</v>
          </cell>
          <cell r="W18">
            <v>0</v>
          </cell>
          <cell r="X18">
            <v>0</v>
          </cell>
          <cell r="Y18">
            <v>0</v>
          </cell>
          <cell r="Z18">
            <v>3717564.8877345668</v>
          </cell>
          <cell r="AA18">
            <v>54757.679999999993</v>
          </cell>
          <cell r="AB18">
            <v>223640.79999999996</v>
          </cell>
          <cell r="AC18">
            <v>578731.8833333333</v>
          </cell>
          <cell r="AD18">
            <v>350191.1681111111</v>
          </cell>
          <cell r="AE18">
            <v>1152563.8514444444</v>
          </cell>
          <cell r="AF18">
            <v>32295.103999999999</v>
          </cell>
          <cell r="AG18">
            <v>55590.229000000007</v>
          </cell>
          <cell r="AH18">
            <v>74599.508999999991</v>
          </cell>
          <cell r="AI18">
            <v>47117.248</v>
          </cell>
          <cell r="AJ18">
            <v>13128.92</v>
          </cell>
          <cell r="AK18">
            <v>0</v>
          </cell>
          <cell r="AL18">
            <v>222731.01</v>
          </cell>
          <cell r="AM18">
            <v>36872.200000000004</v>
          </cell>
          <cell r="AN18">
            <v>8995.14</v>
          </cell>
          <cell r="AO18">
            <v>3536.7200000000003</v>
          </cell>
          <cell r="AP18">
            <v>2412.0499999999997</v>
          </cell>
          <cell r="AQ18">
            <v>85511.789000000019</v>
          </cell>
          <cell r="AR18">
            <v>8558.36</v>
          </cell>
          <cell r="AS18">
            <v>0</v>
          </cell>
          <cell r="AT18">
            <v>147301.62700000001</v>
          </cell>
          <cell r="AU18">
            <v>293187.88600000006</v>
          </cell>
        </row>
        <row r="19">
          <cell r="D19" t="str">
            <v xml:space="preserve"> - 제        조</v>
          </cell>
          <cell r="E19">
            <v>4873631.9771790113</v>
          </cell>
          <cell r="F19">
            <v>273747.54366666666</v>
          </cell>
          <cell r="G19">
            <v>336133.47350577783</v>
          </cell>
          <cell r="H19">
            <v>191197.67766666666</v>
          </cell>
          <cell r="I19">
            <v>172979.24777777778</v>
          </cell>
          <cell r="J19">
            <v>459847.59733333346</v>
          </cell>
          <cell r="K19">
            <v>191466.61722222224</v>
          </cell>
          <cell r="L19">
            <v>123987.12522222222</v>
          </cell>
          <cell r="M19">
            <v>240470.10688888887</v>
          </cell>
          <cell r="N19">
            <v>108984.98044444443</v>
          </cell>
          <cell r="O19">
            <v>305398.7144444444</v>
          </cell>
          <cell r="P19">
            <v>148083.08092026447</v>
          </cell>
          <cell r="Q19">
            <v>142116.73588616063</v>
          </cell>
          <cell r="R19">
            <v>318442.52433333331</v>
          </cell>
          <cell r="S19">
            <v>203846.89333333331</v>
          </cell>
          <cell r="T19">
            <v>109638.90666666668</v>
          </cell>
          <cell r="U19">
            <v>56450.711111111115</v>
          </cell>
          <cell r="V19">
            <v>115545.17931125207</v>
          </cell>
          <cell r="W19">
            <v>0</v>
          </cell>
          <cell r="X19">
            <v>0</v>
          </cell>
          <cell r="Y19">
            <v>0</v>
          </cell>
          <cell r="Z19">
            <v>3498337.1157345669</v>
          </cell>
          <cell r="AA19">
            <v>0</v>
          </cell>
          <cell r="AB19">
            <v>223640.79999999996</v>
          </cell>
          <cell r="AC19">
            <v>578731.8833333333</v>
          </cell>
          <cell r="AD19">
            <v>350191.1681111111</v>
          </cell>
          <cell r="AE19">
            <v>1152563.8514444444</v>
          </cell>
          <cell r="AF19">
            <v>32295.103999999999</v>
          </cell>
          <cell r="AG19">
            <v>55590.229000000007</v>
          </cell>
          <cell r="AH19">
            <v>74599.508999999991</v>
          </cell>
          <cell r="AI19">
            <v>47117.248</v>
          </cell>
          <cell r="AJ19">
            <v>13128.92</v>
          </cell>
          <cell r="AK19">
            <v>0</v>
          </cell>
          <cell r="AL19">
            <v>222731.01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</row>
        <row r="20">
          <cell r="D20" t="str">
            <v xml:space="preserve"> - 판        매</v>
          </cell>
          <cell r="E20">
            <v>567173.33799999999</v>
          </cell>
          <cell r="F20">
            <v>23276.219999999998</v>
          </cell>
          <cell r="G20">
            <v>19451.349999999999</v>
          </cell>
          <cell r="H20">
            <v>16306.111999999996</v>
          </cell>
          <cell r="I20">
            <v>11919.88</v>
          </cell>
          <cell r="J20">
            <v>18760.66</v>
          </cell>
          <cell r="K20">
            <v>15644.02</v>
          </cell>
          <cell r="L20">
            <v>11935.990000000002</v>
          </cell>
          <cell r="M20">
            <v>15633.050000000001</v>
          </cell>
          <cell r="N20">
            <v>7500.36</v>
          </cell>
          <cell r="O20">
            <v>12187.659999999998</v>
          </cell>
          <cell r="P20">
            <v>12053.880000000003</v>
          </cell>
          <cell r="Q20">
            <v>11021.550000000001</v>
          </cell>
          <cell r="R20">
            <v>15882.010000000002</v>
          </cell>
          <cell r="S20">
            <v>11268.639999999998</v>
          </cell>
          <cell r="T20">
            <v>4428.6900000000005</v>
          </cell>
          <cell r="U20">
            <v>3704.0000000000005</v>
          </cell>
          <cell r="V20">
            <v>8253.7000000000007</v>
          </cell>
          <cell r="W20">
            <v>0</v>
          </cell>
          <cell r="X20">
            <v>0</v>
          </cell>
          <cell r="Y20">
            <v>0</v>
          </cell>
          <cell r="Z20">
            <v>219227.772</v>
          </cell>
          <cell r="AA20">
            <v>54757.679999999993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36872.200000000004</v>
          </cell>
          <cell r="AN20">
            <v>8995.14</v>
          </cell>
          <cell r="AO20">
            <v>3536.7200000000003</v>
          </cell>
          <cell r="AP20">
            <v>2412.0499999999997</v>
          </cell>
          <cell r="AQ20">
            <v>85511.789000000019</v>
          </cell>
          <cell r="AR20">
            <v>8558.36</v>
          </cell>
          <cell r="AS20">
            <v>0</v>
          </cell>
          <cell r="AT20">
            <v>147301.62700000001</v>
          </cell>
          <cell r="AU20">
            <v>293187.88600000006</v>
          </cell>
        </row>
        <row r="21">
          <cell r="D21" t="str">
            <v>영업이익 I</v>
          </cell>
          <cell r="E21">
            <v>29972486.039293475</v>
          </cell>
          <cell r="F21">
            <v>3527040.1015674318</v>
          </cell>
          <cell r="G21">
            <v>1485509.2152212427</v>
          </cell>
          <cell r="H21">
            <v>1015101.6651480494</v>
          </cell>
          <cell r="I21">
            <v>855984.66195048089</v>
          </cell>
          <cell r="J21">
            <v>1796663.5146320674</v>
          </cell>
          <cell r="K21">
            <v>1812344.4437957937</v>
          </cell>
          <cell r="L21">
            <v>1156337.3391480017</v>
          </cell>
          <cell r="M21">
            <v>1561282.5495431391</v>
          </cell>
          <cell r="N21">
            <v>915478.10271420865</v>
          </cell>
          <cell r="O21">
            <v>1103629.2768490317</v>
          </cell>
          <cell r="P21">
            <v>1077980.1242107742</v>
          </cell>
          <cell r="Q21">
            <v>947245.72623057151</v>
          </cell>
          <cell r="R21">
            <v>2864577.5880586198</v>
          </cell>
          <cell r="S21">
            <v>1175206.9090833119</v>
          </cell>
          <cell r="T21">
            <v>1839877.5434962504</v>
          </cell>
          <cell r="U21">
            <v>802959.39672164456</v>
          </cell>
          <cell r="V21">
            <v>1593158.7088490189</v>
          </cell>
          <cell r="W21">
            <v>0</v>
          </cell>
          <cell r="X21">
            <v>0</v>
          </cell>
          <cell r="Y21">
            <v>0</v>
          </cell>
          <cell r="Z21">
            <v>25530376.867219608</v>
          </cell>
          <cell r="AA21">
            <v>2015232.6473753373</v>
          </cell>
          <cell r="AB21">
            <v>1340264.1797362368</v>
          </cell>
          <cell r="AC21">
            <v>9287.7185022658668</v>
          </cell>
          <cell r="AD21">
            <v>856584.52579334378</v>
          </cell>
          <cell r="AE21">
            <v>2206136.4240318472</v>
          </cell>
          <cell r="AF21">
            <v>91371.496000000014</v>
          </cell>
          <cell r="AG21">
            <v>228575.54100000003</v>
          </cell>
          <cell r="AH21">
            <v>191902.59766666664</v>
          </cell>
          <cell r="AI21">
            <v>638390.75199999998</v>
          </cell>
          <cell r="AJ21">
            <v>40636.080000000002</v>
          </cell>
          <cell r="AK21">
            <v>0</v>
          </cell>
          <cell r="AL21">
            <v>1190876.4666666666</v>
          </cell>
          <cell r="AM21">
            <v>-82891.670000000013</v>
          </cell>
          <cell r="AN21">
            <v>-17969.8</v>
          </cell>
          <cell r="AO21">
            <v>-6249.84</v>
          </cell>
          <cell r="AP21">
            <v>-13062.24</v>
          </cell>
          <cell r="AQ21">
            <v>-165117.78900000002</v>
          </cell>
          <cell r="AR21">
            <v>-8558.36</v>
          </cell>
          <cell r="AS21">
            <v>-546685.04</v>
          </cell>
          <cell r="AT21">
            <v>-129601.62700000001</v>
          </cell>
          <cell r="AU21">
            <v>-970136.36600000004</v>
          </cell>
        </row>
        <row r="22">
          <cell r="D22" t="str">
            <v>공    통    비</v>
          </cell>
          <cell r="E22">
            <v>15788497.08165352</v>
          </cell>
          <cell r="F22">
            <v>2101498.3097302835</v>
          </cell>
          <cell r="G22">
            <v>1522780.8030795529</v>
          </cell>
          <cell r="H22">
            <v>1104784.8177541422</v>
          </cell>
          <cell r="I22">
            <v>727923.81800150091</v>
          </cell>
          <cell r="J22">
            <v>1213946.3382976677</v>
          </cell>
          <cell r="K22">
            <v>1097667.3089486989</v>
          </cell>
          <cell r="L22">
            <v>764185.19942891551</v>
          </cell>
          <cell r="M22">
            <v>1104354.3814365256</v>
          </cell>
          <cell r="N22">
            <v>617926.57542745105</v>
          </cell>
          <cell r="O22">
            <v>693134.32167689595</v>
          </cell>
          <cell r="P22">
            <v>673426.98223100835</v>
          </cell>
          <cell r="Q22">
            <v>694640.04138163151</v>
          </cell>
          <cell r="R22">
            <v>1204202.907954423</v>
          </cell>
          <cell r="S22">
            <v>563330.17733741994</v>
          </cell>
          <cell r="T22">
            <v>412479.08246481005</v>
          </cell>
          <cell r="U22">
            <v>269288.91492068279</v>
          </cell>
          <cell r="V22">
            <v>540966.40432104818</v>
          </cell>
          <cell r="W22">
            <v>0</v>
          </cell>
          <cell r="X22">
            <v>0</v>
          </cell>
          <cell r="Y22">
            <v>0</v>
          </cell>
          <cell r="Z22">
            <v>15306536.38439266</v>
          </cell>
          <cell r="AA22">
            <v>0</v>
          </cell>
          <cell r="AB22">
            <v>195467.05100318571</v>
          </cell>
          <cell r="AC22">
            <v>123414.2197684807</v>
          </cell>
          <cell r="AD22">
            <v>163079.42648919331</v>
          </cell>
          <cell r="AE22">
            <v>481960.69726085977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</row>
        <row r="23">
          <cell r="D23" t="str">
            <v xml:space="preserve"> - 영업공통비</v>
          </cell>
          <cell r="E23">
            <v>2851171.643333334</v>
          </cell>
          <cell r="F23">
            <v>320354.47917575232</v>
          </cell>
          <cell r="G23">
            <v>236152.55606840871</v>
          </cell>
          <cell r="H23">
            <v>168647.33052959302</v>
          </cell>
          <cell r="I23">
            <v>110507.09799257893</v>
          </cell>
          <cell r="J23">
            <v>207306.14434679085</v>
          </cell>
          <cell r="K23">
            <v>187249.47359292139</v>
          </cell>
          <cell r="L23">
            <v>129611.31781364737</v>
          </cell>
          <cell r="M23">
            <v>188265.86767962866</v>
          </cell>
          <cell r="N23">
            <v>105107.95959798153</v>
          </cell>
          <cell r="O23">
            <v>117297.42672240178</v>
          </cell>
          <cell r="P23">
            <v>114333.48197206177</v>
          </cell>
          <cell r="Q23">
            <v>117808.17737782444</v>
          </cell>
          <cell r="R23">
            <v>147521.57910657354</v>
          </cell>
          <cell r="S23">
            <v>69128.676890273055</v>
          </cell>
          <cell r="T23">
            <v>51149.1526210835</v>
          </cell>
          <cell r="U23">
            <v>32278.436582758361</v>
          </cell>
          <cell r="V23">
            <v>66491.788002194633</v>
          </cell>
          <cell r="W23">
            <v>0</v>
          </cell>
          <cell r="X23">
            <v>0</v>
          </cell>
          <cell r="Y23">
            <v>0</v>
          </cell>
          <cell r="Z23">
            <v>2369210.9460724741</v>
          </cell>
          <cell r="AA23">
            <v>0</v>
          </cell>
          <cell r="AB23">
            <v>195467.05100318571</v>
          </cell>
          <cell r="AC23">
            <v>123414.2197684807</v>
          </cell>
          <cell r="AD23">
            <v>163079.42648919331</v>
          </cell>
          <cell r="AE23">
            <v>481960.69726085977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</row>
        <row r="24">
          <cell r="D24" t="str">
            <v xml:space="preserve"> - 부문공통비</v>
          </cell>
          <cell r="E24">
            <v>5552768.0523333345</v>
          </cell>
          <cell r="F24">
            <v>767584.39877278102</v>
          </cell>
          <cell r="G24">
            <v>541809.45995852968</v>
          </cell>
          <cell r="H24">
            <v>403593.50989478111</v>
          </cell>
          <cell r="I24">
            <v>266675.16199196188</v>
          </cell>
          <cell r="J24">
            <v>430501.51033938373</v>
          </cell>
          <cell r="K24">
            <v>389158.71738959651</v>
          </cell>
          <cell r="L24">
            <v>273440.32729253947</v>
          </cell>
          <cell r="M24">
            <v>391783.41682267416</v>
          </cell>
          <cell r="N24">
            <v>220130.36674249079</v>
          </cell>
          <cell r="O24">
            <v>249502.44923939419</v>
          </cell>
          <cell r="P24">
            <v>240898.21162251802</v>
          </cell>
          <cell r="Q24">
            <v>249052.94235746059</v>
          </cell>
          <cell r="R24">
            <v>454104.20100583794</v>
          </cell>
          <cell r="S24">
            <v>212900.17390262266</v>
          </cell>
          <cell r="T24">
            <v>151843.09052706233</v>
          </cell>
          <cell r="U24">
            <v>104403.60598865239</v>
          </cell>
          <cell r="V24">
            <v>205386.50848504694</v>
          </cell>
          <cell r="W24">
            <v>0</v>
          </cell>
          <cell r="X24">
            <v>0</v>
          </cell>
          <cell r="Y24">
            <v>0</v>
          </cell>
          <cell r="Z24">
            <v>5552768.0523333345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</row>
        <row r="25">
          <cell r="D25" t="str">
            <v xml:space="preserve"> - 본사공통비</v>
          </cell>
          <cell r="E25">
            <v>7384557.3859868515</v>
          </cell>
          <cell r="F25">
            <v>1013559.4317817502</v>
          </cell>
          <cell r="G25">
            <v>744818.78705261461</v>
          </cell>
          <cell r="H25">
            <v>532543.97732976812</v>
          </cell>
          <cell r="I25">
            <v>350741.5580169601</v>
          </cell>
          <cell r="J25">
            <v>576138.68361149309</v>
          </cell>
          <cell r="K25">
            <v>521259.11796618107</v>
          </cell>
          <cell r="L25">
            <v>361133.55432272871</v>
          </cell>
          <cell r="M25">
            <v>524305.09693422285</v>
          </cell>
          <cell r="N25">
            <v>292688.24908697873</v>
          </cell>
          <cell r="O25">
            <v>326334.44571509998</v>
          </cell>
          <cell r="P25">
            <v>318195.2886364286</v>
          </cell>
          <cell r="Q25">
            <v>327778.92164634651</v>
          </cell>
          <cell r="R25">
            <v>602577.12784201151</v>
          </cell>
          <cell r="S25">
            <v>281301.32654452423</v>
          </cell>
          <cell r="T25">
            <v>209486.83931666421</v>
          </cell>
          <cell r="U25">
            <v>132606.87234927207</v>
          </cell>
          <cell r="V25">
            <v>269088.1078338066</v>
          </cell>
          <cell r="W25">
            <v>0</v>
          </cell>
          <cell r="X25">
            <v>0</v>
          </cell>
          <cell r="Y25">
            <v>0</v>
          </cell>
          <cell r="Z25">
            <v>7384557.3859868515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</row>
        <row r="26">
          <cell r="D26" t="str">
            <v>영업이익 II</v>
          </cell>
          <cell r="E26">
            <v>14183988.957639955</v>
          </cell>
          <cell r="F26">
            <v>1425541.7918371484</v>
          </cell>
          <cell r="G26">
            <v>-37271.587858310202</v>
          </cell>
          <cell r="H26">
            <v>-89683.152606092859</v>
          </cell>
          <cell r="I26">
            <v>128060.84394897998</v>
          </cell>
          <cell r="J26">
            <v>582717.17633439973</v>
          </cell>
          <cell r="K26">
            <v>714677.13484709477</v>
          </cell>
          <cell r="L26">
            <v>392152.13971908623</v>
          </cell>
          <cell r="M26">
            <v>456928.16810661345</v>
          </cell>
          <cell r="N26">
            <v>297551.5272867576</v>
          </cell>
          <cell r="O26">
            <v>410494.95517213573</v>
          </cell>
          <cell r="P26">
            <v>404553.14197976585</v>
          </cell>
          <cell r="Q26">
            <v>252605.68484894</v>
          </cell>
          <cell r="R26">
            <v>1660374.6801041968</v>
          </cell>
          <cell r="S26">
            <v>611876.73174589197</v>
          </cell>
          <cell r="T26">
            <v>1427398.4610314404</v>
          </cell>
          <cell r="U26">
            <v>533670.48180096177</v>
          </cell>
          <cell r="V26">
            <v>1052192.3045279707</v>
          </cell>
          <cell r="W26">
            <v>0</v>
          </cell>
          <cell r="X26">
            <v>0</v>
          </cell>
          <cell r="Y26">
            <v>0</v>
          </cell>
          <cell r="Z26">
            <v>10223840.482826948</v>
          </cell>
          <cell r="AA26">
            <v>2015232.6473753373</v>
          </cell>
          <cell r="AB26">
            <v>1144797.128733051</v>
          </cell>
          <cell r="AC26">
            <v>-114126.50126621484</v>
          </cell>
          <cell r="AD26">
            <v>693505.09930415044</v>
          </cell>
          <cell r="AE26">
            <v>1724175.7267709873</v>
          </cell>
          <cell r="AF26">
            <v>91371.496000000014</v>
          </cell>
          <cell r="AG26">
            <v>228575.54100000003</v>
          </cell>
          <cell r="AH26">
            <v>191902.59766666664</v>
          </cell>
          <cell r="AI26">
            <v>638390.75199999998</v>
          </cell>
          <cell r="AJ26">
            <v>40636.080000000002</v>
          </cell>
          <cell r="AK26">
            <v>0</v>
          </cell>
          <cell r="AL26">
            <v>1190876.4666666666</v>
          </cell>
          <cell r="AM26">
            <v>-82891.670000000013</v>
          </cell>
          <cell r="AN26">
            <v>-17969.8</v>
          </cell>
          <cell r="AO26">
            <v>-6249.84</v>
          </cell>
          <cell r="AP26">
            <v>-13062.24</v>
          </cell>
          <cell r="AQ26">
            <v>-165117.78900000002</v>
          </cell>
          <cell r="AR26">
            <v>-8558.36</v>
          </cell>
          <cell r="AS26">
            <v>-546685.04</v>
          </cell>
          <cell r="AT26">
            <v>-129601.62700000001</v>
          </cell>
          <cell r="AU26">
            <v>-970136.36600000004</v>
          </cell>
        </row>
        <row r="27">
          <cell r="E27" t="e">
            <v>#REF!</v>
          </cell>
          <cell r="F27">
            <v>1425541.7918371465</v>
          </cell>
          <cell r="G27">
            <v>-37271.587858309416</v>
          </cell>
          <cell r="H27">
            <v>-89683.152606094358</v>
          </cell>
          <cell r="I27">
            <v>128060.84394897653</v>
          </cell>
          <cell r="J27">
            <v>582717.1763343981</v>
          </cell>
          <cell r="K27">
            <v>714677.13484709291</v>
          </cell>
          <cell r="L27">
            <v>392152.13971908618</v>
          </cell>
          <cell r="M27">
            <v>456928.16810661415</v>
          </cell>
          <cell r="N27">
            <v>297551.52728675731</v>
          </cell>
          <cell r="O27">
            <v>410494.95517213311</v>
          </cell>
          <cell r="P27">
            <v>404553.14197976654</v>
          </cell>
          <cell r="Q27">
            <v>252605.68484893732</v>
          </cell>
          <cell r="R27">
            <v>1660374.6801041998</v>
          </cell>
          <cell r="S27">
            <v>611876.73174589151</v>
          </cell>
          <cell r="T27">
            <v>1427398.4610314397</v>
          </cell>
          <cell r="U27">
            <v>533670.48180096119</v>
          </cell>
          <cell r="V27">
            <v>1052192.30452797</v>
          </cell>
          <cell r="W27">
            <v>0</v>
          </cell>
          <cell r="X27">
            <v>0</v>
          </cell>
          <cell r="Y27">
            <v>0</v>
          </cell>
          <cell r="Z27">
            <v>10223840.482826967</v>
          </cell>
          <cell r="AA27">
            <v>2015232.6473753522</v>
          </cell>
          <cell r="AB27">
            <v>1144797.128733051</v>
          </cell>
          <cell r="AC27">
            <v>-114126.50126621412</v>
          </cell>
          <cell r="AD27">
            <v>693505.09930415056</v>
          </cell>
          <cell r="AE27">
            <v>1724175.7267709875</v>
          </cell>
          <cell r="AF27">
            <v>91371.49599999997</v>
          </cell>
          <cell r="AG27">
            <v>228575.54099999994</v>
          </cell>
          <cell r="AH27">
            <v>191902.59766666673</v>
          </cell>
          <cell r="AI27">
            <v>638390.75199999998</v>
          </cell>
          <cell r="AJ27">
            <v>40636.080000000002</v>
          </cell>
          <cell r="AK27">
            <v>0</v>
          </cell>
          <cell r="AL27">
            <v>1190876.4666666668</v>
          </cell>
          <cell r="AM27">
            <v>-82891.670000000013</v>
          </cell>
          <cell r="AN27">
            <v>-17969.799999999996</v>
          </cell>
          <cell r="AO27">
            <v>-6249.840000000002</v>
          </cell>
          <cell r="AP27">
            <v>-13062.24</v>
          </cell>
          <cell r="AQ27">
            <v>-165117.78900000005</v>
          </cell>
          <cell r="AR27">
            <v>-8558.36</v>
          </cell>
          <cell r="AS27">
            <v>-546685.04</v>
          </cell>
          <cell r="AT27">
            <v>-129601.62700000001</v>
          </cell>
          <cell r="AU27">
            <v>-970136.36600000004</v>
          </cell>
        </row>
        <row r="28">
          <cell r="E28" t="e">
            <v>#REF!</v>
          </cell>
          <cell r="F28">
            <v>1.862645149230957E-9</v>
          </cell>
          <cell r="G28">
            <v>-7.8580342233181E-10</v>
          </cell>
          <cell r="H28">
            <v>1.4988472685217857E-9</v>
          </cell>
          <cell r="I28">
            <v>3.4488039091229439E-9</v>
          </cell>
          <cell r="J28">
            <v>1.6298145055770874E-9</v>
          </cell>
          <cell r="K28">
            <v>1.862645149230957E-9</v>
          </cell>
          <cell r="L28">
            <v>0</v>
          </cell>
          <cell r="M28">
            <v>-6.9849193096160889E-10</v>
          </cell>
          <cell r="N28">
            <v>0</v>
          </cell>
          <cell r="O28">
            <v>2.6193447411060333E-9</v>
          </cell>
          <cell r="P28">
            <v>-6.9849193096160889E-10</v>
          </cell>
          <cell r="Q28">
            <v>2.6775524020195007E-9</v>
          </cell>
          <cell r="R28">
            <v>-3.0267983675003052E-9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-1.862645149230957E-8</v>
          </cell>
          <cell r="AA28">
            <v>-1.4901161193847656E-8</v>
          </cell>
          <cell r="AB28">
            <v>0</v>
          </cell>
          <cell r="AC28">
            <v>-7.1304384618997574E-10</v>
          </cell>
          <cell r="AD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</row>
        <row r="30">
          <cell r="E30">
            <v>3797863.764217536</v>
          </cell>
          <cell r="F30">
            <v>378000</v>
          </cell>
          <cell r="G30">
            <v>276000</v>
          </cell>
          <cell r="H30">
            <v>206000</v>
          </cell>
          <cell r="I30">
            <v>139000</v>
          </cell>
          <cell r="J30">
            <v>197000</v>
          </cell>
          <cell r="K30">
            <v>194000</v>
          </cell>
          <cell r="L30">
            <v>138000</v>
          </cell>
          <cell r="M30">
            <v>188000</v>
          </cell>
          <cell r="N30">
            <v>114000</v>
          </cell>
          <cell r="O30">
            <v>122000</v>
          </cell>
          <cell r="P30">
            <v>121000</v>
          </cell>
          <cell r="Q30">
            <v>119500</v>
          </cell>
          <cell r="R30">
            <v>219000</v>
          </cell>
          <cell r="S30">
            <v>107000</v>
          </cell>
          <cell r="T30">
            <v>70000</v>
          </cell>
          <cell r="U30">
            <v>45000</v>
          </cell>
          <cell r="V30">
            <v>81000</v>
          </cell>
          <cell r="W30">
            <v>0</v>
          </cell>
          <cell r="X30">
            <v>0</v>
          </cell>
          <cell r="Y30">
            <v>0</v>
          </cell>
          <cell r="Z30">
            <v>2714500</v>
          </cell>
          <cell r="AA30">
            <v>111900</v>
          </cell>
          <cell r="AB30">
            <v>482089.73749247316</v>
          </cell>
          <cell r="AC30">
            <v>280671.8404333333</v>
          </cell>
          <cell r="AD30">
            <v>208702.18629172962</v>
          </cell>
          <cell r="AE30">
            <v>971463.76421753597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415394140.26492935</v>
          </cell>
          <cell r="F31">
            <v>37495540.346000001</v>
          </cell>
          <cell r="G31">
            <v>27389032.866908431</v>
          </cell>
          <cell r="H31">
            <v>19889699.183200002</v>
          </cell>
          <cell r="I31">
            <v>13191318.670000002</v>
          </cell>
          <cell r="J31">
            <v>21216895.507196002</v>
          </cell>
          <cell r="K31">
            <v>19264206.073580019</v>
          </cell>
          <cell r="L31">
            <v>13289382.549999999</v>
          </cell>
          <cell r="M31">
            <v>19175989.316800002</v>
          </cell>
          <cell r="N31">
            <v>10775348.5</v>
          </cell>
          <cell r="O31">
            <v>12277033.692960002</v>
          </cell>
          <cell r="P31">
            <v>11745128.440748312</v>
          </cell>
          <cell r="Q31">
            <v>12245449</v>
          </cell>
          <cell r="R31">
            <v>22557000</v>
          </cell>
          <cell r="S31">
            <v>10547622.8266</v>
          </cell>
          <cell r="T31">
            <v>7768462.9830000009</v>
          </cell>
          <cell r="U31">
            <v>5040000</v>
          </cell>
          <cell r="V31">
            <v>9949836.5</v>
          </cell>
          <cell r="W31">
            <v>0</v>
          </cell>
          <cell r="X31">
            <v>0</v>
          </cell>
          <cell r="Y31">
            <v>0</v>
          </cell>
          <cell r="Z31">
            <v>273817946.45699275</v>
          </cell>
          <cell r="AA31">
            <v>122183477.48479998</v>
          </cell>
          <cell r="AB31">
            <v>7040305.0687462362</v>
          </cell>
          <cell r="AC31">
            <v>4785857.700116666</v>
          </cell>
          <cell r="AD31">
            <v>6067051.8876070669</v>
          </cell>
          <cell r="AE31">
            <v>17893214.656469971</v>
          </cell>
          <cell r="AF31">
            <v>125000</v>
          </cell>
          <cell r="AG31">
            <v>325000</v>
          </cell>
          <cell r="AH31">
            <v>289186.66666666663</v>
          </cell>
          <cell r="AI31">
            <v>687400</v>
          </cell>
          <cell r="AJ31">
            <v>55215</v>
          </cell>
          <cell r="AK31">
            <v>0</v>
          </cell>
          <cell r="AL31">
            <v>1481801.6666666665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17700</v>
          </cell>
          <cell r="AU31">
            <v>17700</v>
          </cell>
        </row>
        <row r="32">
          <cell r="D32" t="str">
            <v>매출원가</v>
          </cell>
          <cell r="E32">
            <v>376718971.79763591</v>
          </cell>
          <cell r="F32">
            <v>33261165.304432571</v>
          </cell>
          <cell r="G32">
            <v>25263440.041687187</v>
          </cell>
          <cell r="H32">
            <v>18356782.186051954</v>
          </cell>
          <cell r="I32">
            <v>11968952.748049522</v>
          </cell>
          <cell r="J32">
            <v>18940769.392563935</v>
          </cell>
          <cell r="K32">
            <v>16948546.279784225</v>
          </cell>
          <cell r="L32">
            <v>11742827.930851998</v>
          </cell>
          <cell r="M32">
            <v>17104226.067256864</v>
          </cell>
          <cell r="N32">
            <v>9573486.5572857913</v>
          </cell>
          <cell r="O32">
            <v>10796578.136110969</v>
          </cell>
          <cell r="P32">
            <v>10267968.886537537</v>
          </cell>
          <cell r="Q32">
            <v>10924898.303769428</v>
          </cell>
          <cell r="R32">
            <v>19222093.041941378</v>
          </cell>
          <cell r="S32">
            <v>9055345.8375166878</v>
          </cell>
          <cell r="T32">
            <v>5807077.4695037501</v>
          </cell>
          <cell r="U32">
            <v>4111191.3632783554</v>
          </cell>
          <cell r="V32">
            <v>8191931.6011509812</v>
          </cell>
          <cell r="W32">
            <v>0</v>
          </cell>
          <cell r="X32">
            <v>0</v>
          </cell>
          <cell r="Y32">
            <v>0</v>
          </cell>
          <cell r="Z32">
            <v>241537281.14777315</v>
          </cell>
          <cell r="AA32">
            <v>118884988.65742464</v>
          </cell>
          <cell r="AB32">
            <v>5700040.8890099991</v>
          </cell>
          <cell r="AC32">
            <v>4776569.9816143997</v>
          </cell>
          <cell r="AD32">
            <v>5210467.3618137231</v>
          </cell>
          <cell r="AE32">
            <v>15687078.232438123</v>
          </cell>
          <cell r="AF32">
            <v>33628.504000000001</v>
          </cell>
          <cell r="AG32">
            <v>96424.459000000003</v>
          </cell>
          <cell r="AH32">
            <v>97284.068999999989</v>
          </cell>
          <cell r="AI32">
            <v>49009.248</v>
          </cell>
          <cell r="AJ32">
            <v>14578.92</v>
          </cell>
          <cell r="AK32">
            <v>0</v>
          </cell>
          <cell r="AL32">
            <v>290925.2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318698.56</v>
          </cell>
          <cell r="AT32">
            <v>0</v>
          </cell>
          <cell r="AU32">
            <v>318698.56</v>
          </cell>
        </row>
        <row r="33">
          <cell r="D33" t="str">
            <v>매출이익</v>
          </cell>
          <cell r="E33">
            <v>38675168.467293449</v>
          </cell>
          <cell r="F33">
            <v>4234375.0415674299</v>
          </cell>
          <cell r="G33">
            <v>2125592.8252212442</v>
          </cell>
          <cell r="H33">
            <v>1532916.9971480481</v>
          </cell>
          <cell r="I33">
            <v>1222365.92195048</v>
          </cell>
          <cell r="J33">
            <v>2276126.1146320663</v>
          </cell>
          <cell r="K33">
            <v>2315659.7937957942</v>
          </cell>
          <cell r="L33">
            <v>1546554.6191480011</v>
          </cell>
          <cell r="M33">
            <v>2071763.2495431378</v>
          </cell>
          <cell r="N33">
            <v>1201861.9427142087</v>
          </cell>
          <cell r="O33">
            <v>1480455.5568490326</v>
          </cell>
          <cell r="P33">
            <v>1477159.5542107746</v>
          </cell>
          <cell r="Q33">
            <v>1320550.6962305717</v>
          </cell>
          <cell r="R33">
            <v>3334906.9580586217</v>
          </cell>
          <cell r="S33">
            <v>1492276.9890833125</v>
          </cell>
          <cell r="T33">
            <v>1961385.5134962508</v>
          </cell>
          <cell r="U33">
            <v>928808.63672164455</v>
          </cell>
          <cell r="V33">
            <v>1757904.8988490188</v>
          </cell>
          <cell r="W33">
            <v>0</v>
          </cell>
          <cell r="X33">
            <v>0</v>
          </cell>
          <cell r="Y33">
            <v>0</v>
          </cell>
          <cell r="Z33">
            <v>32280665.309219599</v>
          </cell>
          <cell r="AA33">
            <v>3298488.8273753375</v>
          </cell>
          <cell r="AB33">
            <v>1340264.179736237</v>
          </cell>
          <cell r="AC33">
            <v>9287.7185022663325</v>
          </cell>
          <cell r="AD33">
            <v>856584.52579334378</v>
          </cell>
          <cell r="AE33">
            <v>2206136.4240318481</v>
          </cell>
          <cell r="AF33">
            <v>91371.495999999999</v>
          </cell>
          <cell r="AG33">
            <v>228575.541</v>
          </cell>
          <cell r="AH33">
            <v>191902.59766666664</v>
          </cell>
          <cell r="AI33">
            <v>638390.75199999998</v>
          </cell>
          <cell r="AJ33">
            <v>40636.080000000002</v>
          </cell>
          <cell r="AK33">
            <v>0</v>
          </cell>
          <cell r="AL33">
            <v>1190876.4666666666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-318698.56</v>
          </cell>
          <cell r="AT33">
            <v>17700</v>
          </cell>
          <cell r="AU33">
            <v>-300998.56</v>
          </cell>
        </row>
        <row r="34">
          <cell r="D34" t="str">
            <v>판관비</v>
          </cell>
          <cell r="E34">
            <v>24491179.50965352</v>
          </cell>
          <cell r="F34">
            <v>2808833.2497302834</v>
          </cell>
          <cell r="G34">
            <v>2162864.4130795528</v>
          </cell>
          <cell r="H34">
            <v>1622600.1497541422</v>
          </cell>
          <cell r="I34">
            <v>1094305.0780015008</v>
          </cell>
          <cell r="J34">
            <v>1693408.9382976675</v>
          </cell>
          <cell r="K34">
            <v>1600982.6589486988</v>
          </cell>
          <cell r="L34">
            <v>1154402.4794289155</v>
          </cell>
          <cell r="M34">
            <v>1614835.0814365258</v>
          </cell>
          <cell r="N34">
            <v>904310.41542745102</v>
          </cell>
          <cell r="O34">
            <v>1069960.601676896</v>
          </cell>
          <cell r="P34">
            <v>1072606.4122310083</v>
          </cell>
          <cell r="Q34">
            <v>1067945.0113816315</v>
          </cell>
          <cell r="R34">
            <v>1674532.2779544231</v>
          </cell>
          <cell r="S34">
            <v>880400.2573374199</v>
          </cell>
          <cell r="T34">
            <v>533987.05246480997</v>
          </cell>
          <cell r="U34">
            <v>395138.15492068278</v>
          </cell>
          <cell r="V34">
            <v>705712.59432104812</v>
          </cell>
          <cell r="W34">
            <v>0</v>
          </cell>
          <cell r="X34">
            <v>0</v>
          </cell>
          <cell r="Y34">
            <v>0</v>
          </cell>
          <cell r="Z34">
            <v>22056824.826392658</v>
          </cell>
          <cell r="AA34">
            <v>1283256.1800000002</v>
          </cell>
          <cell r="AB34">
            <v>195467.05100318571</v>
          </cell>
          <cell r="AC34">
            <v>123414.2197684807</v>
          </cell>
          <cell r="AD34">
            <v>163079.42648919331</v>
          </cell>
          <cell r="AE34">
            <v>481960.69726085977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82891.670000000013</v>
          </cell>
          <cell r="AN34">
            <v>17969.8</v>
          </cell>
          <cell r="AO34">
            <v>6249.84</v>
          </cell>
          <cell r="AP34">
            <v>13062.24</v>
          </cell>
          <cell r="AQ34">
            <v>165117.78900000002</v>
          </cell>
          <cell r="AR34">
            <v>8558.36</v>
          </cell>
          <cell r="AS34">
            <v>227986.48</v>
          </cell>
          <cell r="AT34">
            <v>147301.62700000001</v>
          </cell>
          <cell r="AU34">
            <v>669137.8060000001</v>
          </cell>
        </row>
        <row r="35">
          <cell r="D35" t="str">
            <v>영업이익</v>
          </cell>
          <cell r="E35">
            <v>14183988.957639933</v>
          </cell>
          <cell r="F35">
            <v>1425541.7918371465</v>
          </cell>
          <cell r="G35">
            <v>-37271.587858308572</v>
          </cell>
          <cell r="H35">
            <v>-89683.152606094023</v>
          </cell>
          <cell r="I35">
            <v>128060.84394897916</v>
          </cell>
          <cell r="J35">
            <v>582717.1763343988</v>
          </cell>
          <cell r="K35">
            <v>714677.13484709547</v>
          </cell>
          <cell r="L35">
            <v>392152.13971908554</v>
          </cell>
          <cell r="M35">
            <v>456928.16810661205</v>
          </cell>
          <cell r="N35">
            <v>297551.52728675772</v>
          </cell>
          <cell r="O35">
            <v>410494.95517213666</v>
          </cell>
          <cell r="P35">
            <v>404553.14197976631</v>
          </cell>
          <cell r="Q35">
            <v>252605.68484894023</v>
          </cell>
          <cell r="R35">
            <v>1660374.6801041986</v>
          </cell>
          <cell r="S35">
            <v>611876.73174589255</v>
          </cell>
          <cell r="T35">
            <v>1427398.4610314409</v>
          </cell>
          <cell r="U35">
            <v>533670.48180096177</v>
          </cell>
          <cell r="V35">
            <v>1052192.3045279707</v>
          </cell>
          <cell r="W35">
            <v>0</v>
          </cell>
          <cell r="X35">
            <v>0</v>
          </cell>
          <cell r="Y35">
            <v>0</v>
          </cell>
          <cell r="Z35">
            <v>10223840.482826941</v>
          </cell>
          <cell r="AA35">
            <v>2015232.6473753373</v>
          </cell>
          <cell r="AB35">
            <v>1144797.1287330512</v>
          </cell>
          <cell r="AC35">
            <v>-114126.50126621437</v>
          </cell>
          <cell r="AD35">
            <v>693505.09930415044</v>
          </cell>
          <cell r="AE35">
            <v>1724175.7267709882</v>
          </cell>
          <cell r="AF35">
            <v>91371.495999999999</v>
          </cell>
          <cell r="AG35">
            <v>228575.541</v>
          </cell>
          <cell r="AH35">
            <v>191902.59766666664</v>
          </cell>
          <cell r="AI35">
            <v>638390.75199999998</v>
          </cell>
          <cell r="AJ35">
            <v>40636.080000000002</v>
          </cell>
          <cell r="AK35">
            <v>0</v>
          </cell>
          <cell r="AL35">
            <v>1190876.4666666666</v>
          </cell>
          <cell r="AM35">
            <v>-82891.670000000013</v>
          </cell>
          <cell r="AN35">
            <v>-17969.8</v>
          </cell>
          <cell r="AO35">
            <v>-6249.84</v>
          </cell>
          <cell r="AP35">
            <v>-13062.24</v>
          </cell>
          <cell r="AQ35">
            <v>-165117.78900000002</v>
          </cell>
          <cell r="AR35">
            <v>-8558.36</v>
          </cell>
          <cell r="AS35">
            <v>-546685.04</v>
          </cell>
          <cell r="AT35">
            <v>-129601.62700000001</v>
          </cell>
          <cell r="AU35">
            <v>-970136.36600000015</v>
          </cell>
        </row>
      </sheetData>
      <sheetData sheetId="23" refreshError="1"/>
      <sheetData sheetId="24">
        <row r="7">
          <cell r="Z7">
            <v>3330000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피벗매출"/>
      <sheetName val="A1raw"/>
      <sheetName val="A1raw매출액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3분기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 t="str">
            <v>M본사_회계팀</v>
          </cell>
          <cell r="BJ6" t="str">
            <v>기타 계</v>
          </cell>
        </row>
        <row r="7">
          <cell r="G7">
            <v>29011</v>
          </cell>
          <cell r="H7">
            <v>26297</v>
          </cell>
          <cell r="I7">
            <v>14177</v>
          </cell>
          <cell r="J7">
            <v>9536.5</v>
          </cell>
          <cell r="K7">
            <v>17712</v>
          </cell>
          <cell r="L7">
            <v>20565</v>
          </cell>
          <cell r="M7">
            <v>6521</v>
          </cell>
          <cell r="N7">
            <v>18136.5</v>
          </cell>
          <cell r="O7">
            <v>3796</v>
          </cell>
          <cell r="P7">
            <v>7563</v>
          </cell>
          <cell r="Q7">
            <v>6879</v>
          </cell>
          <cell r="R7">
            <v>8572</v>
          </cell>
          <cell r="S7">
            <v>20895</v>
          </cell>
          <cell r="T7">
            <v>4295</v>
          </cell>
          <cell r="U7">
            <v>3452.5</v>
          </cell>
          <cell r="V7">
            <v>14159.5</v>
          </cell>
          <cell r="W7">
            <v>3720</v>
          </cell>
          <cell r="Z7">
            <v>215288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215288</v>
          </cell>
          <cell r="AJ7">
            <v>19249</v>
          </cell>
          <cell r="AK7">
            <v>32200</v>
          </cell>
          <cell r="AL7">
            <v>15140</v>
          </cell>
          <cell r="AN7">
            <v>66589</v>
          </cell>
          <cell r="AO7">
            <v>6655.6190000000006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J7">
            <v>0</v>
          </cell>
        </row>
        <row r="8">
          <cell r="F8">
            <v>29447913.558999997</v>
          </cell>
          <cell r="G8">
            <v>2833126.17</v>
          </cell>
          <cell r="H8">
            <v>2442478.1260000002</v>
          </cell>
          <cell r="I8">
            <v>1282299.6000000001</v>
          </cell>
          <cell r="J8">
            <v>922484.41999999993</v>
          </cell>
          <cell r="K8">
            <v>1942162.1</v>
          </cell>
          <cell r="L8">
            <v>2041145.5</v>
          </cell>
          <cell r="M8">
            <v>629400.69999999995</v>
          </cell>
          <cell r="N8">
            <v>1805683.7</v>
          </cell>
          <cell r="O8">
            <v>346705.8</v>
          </cell>
          <cell r="P8">
            <v>690536.7</v>
          </cell>
          <cell r="Q8">
            <v>594287.98199999996</v>
          </cell>
          <cell r="R8">
            <v>908003.5</v>
          </cell>
          <cell r="S8">
            <v>2010968.872</v>
          </cell>
          <cell r="T8">
            <v>473818.2</v>
          </cell>
          <cell r="U8">
            <v>373216.71899999998</v>
          </cell>
          <cell r="V8">
            <v>1377131</v>
          </cell>
          <cell r="W8">
            <v>470502.96899999998</v>
          </cell>
          <cell r="Z8">
            <v>21143952.057999998</v>
          </cell>
          <cell r="AA8">
            <v>0</v>
          </cell>
          <cell r="AB8">
            <v>0</v>
          </cell>
          <cell r="AC8">
            <v>12500</v>
          </cell>
          <cell r="AD8">
            <v>30840</v>
          </cell>
          <cell r="AH8">
            <v>43340</v>
          </cell>
          <cell r="AI8">
            <v>21187292.057999998</v>
          </cell>
          <cell r="AJ8">
            <v>548133.4</v>
          </cell>
          <cell r="AK8">
            <v>415688</v>
          </cell>
          <cell r="AL8">
            <v>297084.40000000002</v>
          </cell>
          <cell r="AN8">
            <v>1260905.8</v>
          </cell>
          <cell r="AO8">
            <v>6923776.4969999995</v>
          </cell>
          <cell r="AP8">
            <v>0</v>
          </cell>
          <cell r="AS8">
            <v>6923776.4969999995</v>
          </cell>
          <cell r="AT8">
            <v>5788.1</v>
          </cell>
          <cell r="AU8">
            <v>5940</v>
          </cell>
          <cell r="AV8">
            <v>62516.203999999998</v>
          </cell>
          <cell r="BA8">
            <v>74244.304000000004</v>
          </cell>
          <cell r="BB8">
            <v>0</v>
          </cell>
          <cell r="BC8">
            <v>1694.9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J8">
            <v>1694.9</v>
          </cell>
        </row>
        <row r="9">
          <cell r="G9">
            <v>97656.963565544109</v>
          </cell>
          <cell r="H9">
            <v>92880.485454614594</v>
          </cell>
          <cell r="I9">
            <v>90449.291105311437</v>
          </cell>
          <cell r="J9">
            <v>96731.968751638429</v>
          </cell>
          <cell r="K9">
            <v>109652.3317524842</v>
          </cell>
          <cell r="L9">
            <v>99253.367371748114</v>
          </cell>
          <cell r="M9">
            <v>96519.046158564641</v>
          </cell>
          <cell r="N9">
            <v>99560.758691037408</v>
          </cell>
          <cell r="O9">
            <v>91334.5100105374</v>
          </cell>
          <cell r="P9">
            <v>91304.60134867116</v>
          </cell>
          <cell r="Q9">
            <v>86391.624073266459</v>
          </cell>
          <cell r="R9">
            <v>105926.67988800746</v>
          </cell>
          <cell r="S9">
            <v>96241.63062933716</v>
          </cell>
          <cell r="T9">
            <v>110318.55646100116</v>
          </cell>
          <cell r="U9">
            <v>108100.42548877624</v>
          </cell>
          <cell r="V9">
            <v>97258.448391539248</v>
          </cell>
          <cell r="W9">
            <v>126479.29274193548</v>
          </cell>
          <cell r="Z9">
            <v>98212.40411913344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98413.715850395747</v>
          </cell>
          <cell r="AJ9">
            <v>28475.941607356228</v>
          </cell>
          <cell r="AK9">
            <v>12909.565217391304</v>
          </cell>
          <cell r="AL9">
            <v>19622.483487450463</v>
          </cell>
          <cell r="AO9">
            <v>1040290.391772726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J9">
            <v>0</v>
          </cell>
        </row>
        <row r="10">
          <cell r="F10">
            <v>26917662.481489997</v>
          </cell>
          <cell r="G10">
            <v>2497784.14115</v>
          </cell>
          <cell r="H10">
            <v>2441955.2684599999</v>
          </cell>
          <cell r="I10">
            <v>1269067.8884200002</v>
          </cell>
          <cell r="J10">
            <v>862377.47221000004</v>
          </cell>
          <cell r="K10">
            <v>1661021.0067499999</v>
          </cell>
          <cell r="L10">
            <v>1737099.6423199999</v>
          </cell>
          <cell r="M10">
            <v>619299.71208000008</v>
          </cell>
          <cell r="N10">
            <v>1651595.33045</v>
          </cell>
          <cell r="O10">
            <v>380833.18343000003</v>
          </cell>
          <cell r="P10">
            <v>668585.25364000001</v>
          </cell>
          <cell r="Q10">
            <v>606091.78605999995</v>
          </cell>
          <cell r="R10">
            <v>833643.01975999994</v>
          </cell>
          <cell r="S10">
            <v>1857070.57314</v>
          </cell>
          <cell r="T10">
            <v>373131.27049000002</v>
          </cell>
          <cell r="U10">
            <v>309659.70225999999</v>
          </cell>
          <cell r="V10">
            <v>1211165.0109399999</v>
          </cell>
          <cell r="W10">
            <v>451501.2623</v>
          </cell>
          <cell r="Z10">
            <v>19431881.523859996</v>
          </cell>
          <cell r="AA10">
            <v>0</v>
          </cell>
          <cell r="AB10">
            <v>0</v>
          </cell>
          <cell r="AC10">
            <v>119.852</v>
          </cell>
          <cell r="AD10">
            <v>504.31099999999998</v>
          </cell>
          <cell r="AH10">
            <v>624.16300000000001</v>
          </cell>
          <cell r="AI10">
            <v>19432505.686859995</v>
          </cell>
          <cell r="AJ10">
            <v>474539.65228000004</v>
          </cell>
          <cell r="AK10">
            <v>383583.00829999999</v>
          </cell>
          <cell r="AL10">
            <v>330232.81704999995</v>
          </cell>
          <cell r="AN10">
            <v>1188355.4776300001</v>
          </cell>
          <cell r="AO10">
            <v>6793622.1620000005</v>
          </cell>
          <cell r="AP10">
            <v>0</v>
          </cell>
          <cell r="AS10">
            <v>6793622.1620000005</v>
          </cell>
          <cell r="AT10">
            <v>173.26300000000001</v>
          </cell>
          <cell r="AU10">
            <v>239.21199999999999</v>
          </cell>
          <cell r="AV10">
            <v>0</v>
          </cell>
          <cell r="BA10">
            <v>412.47500000000002</v>
          </cell>
          <cell r="BB10">
            <v>0</v>
          </cell>
          <cell r="BC10">
            <v>0</v>
          </cell>
          <cell r="BD10">
            <v>-497233.32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J10">
            <v>-497233.32</v>
          </cell>
        </row>
        <row r="11">
          <cell r="G11">
            <v>86097.829828340982</v>
          </cell>
          <cell r="H11">
            <v>92860.602671787667</v>
          </cell>
          <cell r="I11">
            <v>89515.968711292953</v>
          </cell>
          <cell r="J11">
            <v>90429.137755990145</v>
          </cell>
          <cell r="K11">
            <v>93779.415466915088</v>
          </cell>
          <cell r="L11">
            <v>84468.740205203008</v>
          </cell>
          <cell r="M11">
            <v>94970.05245821194</v>
          </cell>
          <cell r="N11">
            <v>91064.721994320847</v>
          </cell>
          <cell r="O11">
            <v>100324.86391728136</v>
          </cell>
          <cell r="P11">
            <v>88402.122655031082</v>
          </cell>
          <cell r="Q11">
            <v>88107.542674807381</v>
          </cell>
          <cell r="R11">
            <v>97251.868847410165</v>
          </cell>
          <cell r="S11">
            <v>88876.313622397705</v>
          </cell>
          <cell r="T11">
            <v>86875.732360884751</v>
          </cell>
          <cell r="U11">
            <v>89691.441639391734</v>
          </cell>
          <cell r="V11">
            <v>85537.272568946632</v>
          </cell>
          <cell r="W11">
            <v>121371.30706989247</v>
          </cell>
          <cell r="Z11">
            <v>90259.937961521282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90262.837161662494</v>
          </cell>
          <cell r="AJ11">
            <v>24652.691167333371</v>
          </cell>
          <cell r="AK11">
            <v>11912.515785714286</v>
          </cell>
          <cell r="AL11">
            <v>21811.943001981504</v>
          </cell>
          <cell r="AO11">
            <v>1020734.8350318731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J11">
            <v>0</v>
          </cell>
        </row>
        <row r="12">
          <cell r="F12">
            <v>2530251.0775099993</v>
          </cell>
          <cell r="G12">
            <v>335342.02884999989</v>
          </cell>
          <cell r="H12">
            <v>522.85754000023007</v>
          </cell>
          <cell r="I12">
            <v>13231.711579999886</v>
          </cell>
          <cell r="J12">
            <v>60106.947789999889</v>
          </cell>
          <cell r="K12">
            <v>281141.09325000015</v>
          </cell>
          <cell r="L12">
            <v>304045.85768000013</v>
          </cell>
          <cell r="M12">
            <v>10100.987919999869</v>
          </cell>
          <cell r="N12">
            <v>154088.36954999994</v>
          </cell>
          <cell r="O12">
            <v>-34127.383430000045</v>
          </cell>
          <cell r="P12">
            <v>21951.446359999944</v>
          </cell>
          <cell r="Q12">
            <v>-11803.804059999995</v>
          </cell>
          <cell r="R12">
            <v>74360.480240000063</v>
          </cell>
          <cell r="S12">
            <v>153898.29885999998</v>
          </cell>
          <cell r="T12">
            <v>100686.92950999999</v>
          </cell>
          <cell r="U12">
            <v>63557.016739999992</v>
          </cell>
          <cell r="V12">
            <v>165965.98906000005</v>
          </cell>
          <cell r="W12">
            <v>19001.706699999981</v>
          </cell>
          <cell r="Z12">
            <v>1712070.5341400001</v>
          </cell>
          <cell r="AA12">
            <v>0</v>
          </cell>
          <cell r="AB12">
            <v>0</v>
          </cell>
          <cell r="AC12">
            <v>12380.147999999999</v>
          </cell>
          <cell r="AD12">
            <v>30335.688999999998</v>
          </cell>
          <cell r="AH12">
            <v>42715.837</v>
          </cell>
          <cell r="AI12">
            <v>1754786.3711400032</v>
          </cell>
          <cell r="AJ12">
            <v>73593.747719999985</v>
          </cell>
          <cell r="AK12">
            <v>32104.991700000013</v>
          </cell>
          <cell r="AL12">
            <v>-33148.417049999931</v>
          </cell>
          <cell r="AN12">
            <v>72550.322369999951</v>
          </cell>
          <cell r="AO12">
            <v>130154.33499999903</v>
          </cell>
          <cell r="AP12">
            <v>0</v>
          </cell>
          <cell r="AS12">
            <v>130154.33499999903</v>
          </cell>
          <cell r="AT12">
            <v>5614.8370000000004</v>
          </cell>
          <cell r="AU12">
            <v>5700.7880000000005</v>
          </cell>
          <cell r="AV12">
            <v>62516.203999999998</v>
          </cell>
          <cell r="BA12">
            <v>73831.828999999998</v>
          </cell>
          <cell r="BB12">
            <v>0</v>
          </cell>
          <cell r="BC12">
            <v>1694.9</v>
          </cell>
          <cell r="BD12">
            <v>497233.32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J12">
            <v>498928.22000000003</v>
          </cell>
        </row>
        <row r="13">
          <cell r="F13">
            <v>895778.69900000002</v>
          </cell>
          <cell r="G13">
            <v>76345.459000000003</v>
          </cell>
          <cell r="H13">
            <v>72169.941999999995</v>
          </cell>
          <cell r="I13">
            <v>57641.808999999994</v>
          </cell>
          <cell r="J13">
            <v>38191.538999999997</v>
          </cell>
          <cell r="K13">
            <v>63259.074999999997</v>
          </cell>
          <cell r="L13">
            <v>58706.413</v>
          </cell>
          <cell r="M13">
            <v>35328.981999999996</v>
          </cell>
          <cell r="N13">
            <v>61134.684999999998</v>
          </cell>
          <cell r="O13">
            <v>31573.429000000004</v>
          </cell>
          <cell r="P13">
            <v>32845.151999999995</v>
          </cell>
          <cell r="Q13">
            <v>34921.394</v>
          </cell>
          <cell r="R13">
            <v>29715.834000000003</v>
          </cell>
          <cell r="S13">
            <v>52495.491000000002</v>
          </cell>
          <cell r="T13">
            <v>10561.558000000001</v>
          </cell>
          <cell r="U13">
            <v>14643.748</v>
          </cell>
          <cell r="V13">
            <v>30244.472000000002</v>
          </cell>
          <cell r="W13">
            <v>18121.131000000001</v>
          </cell>
          <cell r="Z13">
            <v>717900.1129999999</v>
          </cell>
          <cell r="AA13">
            <v>1772.461</v>
          </cell>
          <cell r="AB13">
            <v>178.958</v>
          </cell>
          <cell r="AC13">
            <v>0</v>
          </cell>
          <cell r="AD13">
            <v>0</v>
          </cell>
          <cell r="AH13">
            <v>1951.4190000000001</v>
          </cell>
          <cell r="AI13">
            <v>719851.53199999989</v>
          </cell>
          <cell r="AJ13">
            <v>0</v>
          </cell>
          <cell r="AK13">
            <v>0</v>
          </cell>
          <cell r="AL13">
            <v>0</v>
          </cell>
          <cell r="AN13">
            <v>0</v>
          </cell>
          <cell r="AO13">
            <v>166201.726</v>
          </cell>
          <cell r="AP13">
            <v>0</v>
          </cell>
          <cell r="AS13">
            <v>166201.726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9725.4410000000007</v>
          </cell>
          <cell r="BG13">
            <v>0</v>
          </cell>
          <cell r="BH13">
            <v>0</v>
          </cell>
          <cell r="BJ13">
            <v>9725.4410000000007</v>
          </cell>
        </row>
        <row r="14">
          <cell r="F14">
            <v>587302.10699999996</v>
          </cell>
          <cell r="G14">
            <v>50713.305999999997</v>
          </cell>
          <cell r="H14">
            <v>50094.618999999999</v>
          </cell>
          <cell r="I14">
            <v>38890.777999999998</v>
          </cell>
          <cell r="J14">
            <v>29318.264999999999</v>
          </cell>
          <cell r="K14">
            <v>42765.482000000004</v>
          </cell>
          <cell r="L14">
            <v>40351.925000000003</v>
          </cell>
          <cell r="M14">
            <v>23794.152999999998</v>
          </cell>
          <cell r="N14">
            <v>36764.090999999993</v>
          </cell>
          <cell r="O14">
            <v>21094.637000000002</v>
          </cell>
          <cell r="P14">
            <v>20830.898999999998</v>
          </cell>
          <cell r="Q14">
            <v>24686.848999999998</v>
          </cell>
          <cell r="R14">
            <v>21271.799000000003</v>
          </cell>
          <cell r="S14">
            <v>37124.845000000001</v>
          </cell>
          <cell r="T14">
            <v>7815.1270000000004</v>
          </cell>
          <cell r="U14">
            <v>9013.1959999999999</v>
          </cell>
          <cell r="V14">
            <v>23886.438000000002</v>
          </cell>
          <cell r="W14">
            <v>11908.534</v>
          </cell>
          <cell r="Z14">
            <v>490324.94299999991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490324.94299999991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96977.164000000004</v>
          </cell>
          <cell r="AP14">
            <v>0</v>
          </cell>
          <cell r="AS14">
            <v>96977.164000000004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J14">
            <v>0</v>
          </cell>
        </row>
        <row r="15">
          <cell r="F15">
            <v>308476.592</v>
          </cell>
          <cell r="G15">
            <v>25632.152999999998</v>
          </cell>
          <cell r="H15">
            <v>22075.323</v>
          </cell>
          <cell r="I15">
            <v>18751.030999999999</v>
          </cell>
          <cell r="J15">
            <v>8873.2739999999994</v>
          </cell>
          <cell r="K15">
            <v>20493.592999999997</v>
          </cell>
          <cell r="L15">
            <v>18354.488000000001</v>
          </cell>
          <cell r="M15">
            <v>11534.828999999998</v>
          </cell>
          <cell r="N15">
            <v>24370.594000000001</v>
          </cell>
          <cell r="O15">
            <v>10478.791999999999</v>
          </cell>
          <cell r="P15">
            <v>12014.252999999999</v>
          </cell>
          <cell r="Q15">
            <v>10234.545</v>
          </cell>
          <cell r="R15">
            <v>8444.0349999999999</v>
          </cell>
          <cell r="S15">
            <v>15370.646000000001</v>
          </cell>
          <cell r="T15">
            <v>2746.431</v>
          </cell>
          <cell r="U15">
            <v>5630.5520000000006</v>
          </cell>
          <cell r="V15">
            <v>6358.0339999999997</v>
          </cell>
          <cell r="W15">
            <v>6212.5970000000007</v>
          </cell>
          <cell r="Z15">
            <v>227575.17000000004</v>
          </cell>
          <cell r="AA15">
            <v>1772.461</v>
          </cell>
          <cell r="AB15">
            <v>178.958</v>
          </cell>
          <cell r="AC15">
            <v>0</v>
          </cell>
          <cell r="AD15">
            <v>0</v>
          </cell>
          <cell r="AH15">
            <v>1951.4190000000001</v>
          </cell>
          <cell r="AI15">
            <v>229526.58900000004</v>
          </cell>
          <cell r="AJ15">
            <v>0</v>
          </cell>
          <cell r="AK15">
            <v>0</v>
          </cell>
          <cell r="AL15">
            <v>0</v>
          </cell>
          <cell r="AN15">
            <v>0</v>
          </cell>
          <cell r="AO15">
            <v>69224.561999999991</v>
          </cell>
          <cell r="AP15">
            <v>0</v>
          </cell>
          <cell r="AS15">
            <v>69224.561999999991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9725.4410000000007</v>
          </cell>
          <cell r="BG15">
            <v>0</v>
          </cell>
          <cell r="BH15">
            <v>0</v>
          </cell>
          <cell r="BJ15">
            <v>9725.4410000000007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J16">
            <v>0</v>
          </cell>
        </row>
        <row r="17">
          <cell r="F17">
            <v>1634472.3785099993</v>
          </cell>
          <cell r="G17">
            <v>258996.56984999988</v>
          </cell>
          <cell r="H17">
            <v>-71647.084459999765</v>
          </cell>
          <cell r="I17">
            <v>-44410.097420000107</v>
          </cell>
          <cell r="J17">
            <v>21915.408789999892</v>
          </cell>
          <cell r="K17">
            <v>217882.01825000014</v>
          </cell>
          <cell r="L17">
            <v>245339.44468000013</v>
          </cell>
          <cell r="M17">
            <v>-25227.994080000128</v>
          </cell>
          <cell r="N17">
            <v>92953.684549999947</v>
          </cell>
          <cell r="O17">
            <v>-65700.812430000049</v>
          </cell>
          <cell r="P17">
            <v>-10893.705640000051</v>
          </cell>
          <cell r="Q17">
            <v>-46725.198059999995</v>
          </cell>
          <cell r="R17">
            <v>44644.64624000006</v>
          </cell>
          <cell r="S17">
            <v>101402.80785999997</v>
          </cell>
          <cell r="T17">
            <v>90125.371509999983</v>
          </cell>
          <cell r="U17">
            <v>48913.268739999992</v>
          </cell>
          <cell r="V17">
            <v>135721.51706000004</v>
          </cell>
          <cell r="W17">
            <v>880.57569999997941</v>
          </cell>
          <cell r="Z17">
            <v>994170.42114000022</v>
          </cell>
          <cell r="AA17">
            <v>-1772.461</v>
          </cell>
          <cell r="AB17">
            <v>-178.958</v>
          </cell>
          <cell r="AC17">
            <v>12380.147999999999</v>
          </cell>
          <cell r="AD17">
            <v>30335.688999999998</v>
          </cell>
          <cell r="AH17">
            <v>40764.417999999998</v>
          </cell>
          <cell r="AI17">
            <v>1034934.8391400033</v>
          </cell>
          <cell r="AJ17">
            <v>73593.747719999985</v>
          </cell>
          <cell r="AK17">
            <v>32104.991700000013</v>
          </cell>
          <cell r="AL17">
            <v>-33148.417049999931</v>
          </cell>
          <cell r="AN17">
            <v>72550.322369999951</v>
          </cell>
          <cell r="AO17">
            <v>-36047.391000000964</v>
          </cell>
          <cell r="AP17">
            <v>0</v>
          </cell>
          <cell r="AS17">
            <v>-36047.391000000964</v>
          </cell>
          <cell r="AT17">
            <v>5614.8370000000004</v>
          </cell>
          <cell r="AU17">
            <v>5700.7880000000005</v>
          </cell>
          <cell r="AV17">
            <v>62516.203999999998</v>
          </cell>
          <cell r="BA17">
            <v>73831.828999999998</v>
          </cell>
          <cell r="BB17">
            <v>0</v>
          </cell>
          <cell r="BC17">
            <v>1694.9</v>
          </cell>
          <cell r="BD17">
            <v>497233.32</v>
          </cell>
          <cell r="BE17">
            <v>0</v>
          </cell>
          <cell r="BF17">
            <v>-9725.4410000000007</v>
          </cell>
          <cell r="BG17">
            <v>0</v>
          </cell>
          <cell r="BH17">
            <v>0</v>
          </cell>
          <cell r="BJ17">
            <v>489202.77900000004</v>
          </cell>
        </row>
        <row r="18">
          <cell r="F18">
            <v>647702.87250000006</v>
          </cell>
          <cell r="G18">
            <v>25664.710850000003</v>
          </cell>
          <cell r="H18">
            <v>32540.027529999999</v>
          </cell>
          <cell r="I18">
            <v>17879.074579999997</v>
          </cell>
          <cell r="J18">
            <v>16065.036789999998</v>
          </cell>
          <cell r="K18">
            <v>104184.62725000001</v>
          </cell>
          <cell r="L18">
            <v>62729.379679999998</v>
          </cell>
          <cell r="M18">
            <v>13463.11692</v>
          </cell>
          <cell r="N18">
            <v>22718.655550000003</v>
          </cell>
          <cell r="O18">
            <v>11034.485570000001</v>
          </cell>
          <cell r="P18">
            <v>31706.675359999997</v>
          </cell>
          <cell r="Q18">
            <v>13911.673939999999</v>
          </cell>
          <cell r="R18">
            <v>13079.64424</v>
          </cell>
          <cell r="S18">
            <v>32935.599860000002</v>
          </cell>
          <cell r="T18">
            <v>4721.9945099999995</v>
          </cell>
          <cell r="U18">
            <v>9376.7947399999994</v>
          </cell>
          <cell r="V18">
            <v>19374.215059999999</v>
          </cell>
          <cell r="W18">
            <v>10925.563699999999</v>
          </cell>
          <cell r="Z18">
            <v>442311.27613000007</v>
          </cell>
          <cell r="AA18">
            <v>5731.549</v>
          </cell>
          <cell r="AB18">
            <v>0</v>
          </cell>
          <cell r="AC18">
            <v>3218.5030000000002</v>
          </cell>
          <cell r="AD18">
            <v>8222.2649999999994</v>
          </cell>
          <cell r="AH18">
            <v>17172.316999999999</v>
          </cell>
          <cell r="AI18">
            <v>459483.59312999999</v>
          </cell>
          <cell r="AJ18">
            <v>36026.597719999998</v>
          </cell>
          <cell r="AK18">
            <v>52555.528700000003</v>
          </cell>
          <cell r="AL18">
            <v>56553.506950000003</v>
          </cell>
          <cell r="AN18">
            <v>145135.63337</v>
          </cell>
          <cell r="AO18">
            <v>1039.394</v>
          </cell>
          <cell r="AP18">
            <v>0</v>
          </cell>
          <cell r="AS18">
            <v>1039.394</v>
          </cell>
          <cell r="AT18">
            <v>1312.8920000000001</v>
          </cell>
          <cell r="AU18">
            <v>5524.1020000000008</v>
          </cell>
          <cell r="AV18">
            <v>0</v>
          </cell>
          <cell r="BA18">
            <v>6836.9940000000006</v>
          </cell>
          <cell r="BB18">
            <v>0</v>
          </cell>
          <cell r="BC18">
            <v>13426.341</v>
          </cell>
          <cell r="BD18">
            <v>0</v>
          </cell>
          <cell r="BE18">
            <v>0</v>
          </cell>
          <cell r="BF18">
            <v>21780.916999999998</v>
          </cell>
          <cell r="BG18">
            <v>0</v>
          </cell>
          <cell r="BH18">
            <v>0</v>
          </cell>
          <cell r="BJ18">
            <v>35207.258000000002</v>
          </cell>
        </row>
        <row r="19">
          <cell r="F19">
            <v>605122.76150000002</v>
          </cell>
          <cell r="G19">
            <v>25664.710850000003</v>
          </cell>
          <cell r="H19">
            <v>32540.027529999999</v>
          </cell>
          <cell r="I19">
            <v>17661.896579999997</v>
          </cell>
          <cell r="J19">
            <v>16056.717789999999</v>
          </cell>
          <cell r="K19">
            <v>103872.96325</v>
          </cell>
          <cell r="L19">
            <v>62729.379679999998</v>
          </cell>
          <cell r="M19">
            <v>13453.18692</v>
          </cell>
          <cell r="N19">
            <v>22709.419550000002</v>
          </cell>
          <cell r="O19">
            <v>11025.24957</v>
          </cell>
          <cell r="P19">
            <v>31681.911359999998</v>
          </cell>
          <cell r="Q19">
            <v>13911.673939999999</v>
          </cell>
          <cell r="R19">
            <v>13077.991239999999</v>
          </cell>
          <cell r="S19">
            <v>32925.669860000002</v>
          </cell>
          <cell r="T19">
            <v>4721.9945099999995</v>
          </cell>
          <cell r="U19">
            <v>9376.7947399999994</v>
          </cell>
          <cell r="V19">
            <v>19374.215059999999</v>
          </cell>
          <cell r="W19">
            <v>10925.563699999999</v>
          </cell>
          <cell r="Z19">
            <v>441709.36613000004</v>
          </cell>
          <cell r="AA19">
            <v>0</v>
          </cell>
          <cell r="AB19">
            <v>0</v>
          </cell>
          <cell r="AC19">
            <v>3218.5030000000002</v>
          </cell>
          <cell r="AD19">
            <v>8222.2649999999994</v>
          </cell>
          <cell r="AH19">
            <v>11440.768</v>
          </cell>
          <cell r="AI19">
            <v>453150.13413000002</v>
          </cell>
          <cell r="AJ19">
            <v>36026.597719999998</v>
          </cell>
          <cell r="AK19">
            <v>52555.528700000003</v>
          </cell>
          <cell r="AL19">
            <v>56553.506950000003</v>
          </cell>
          <cell r="AN19">
            <v>145135.63337</v>
          </cell>
          <cell r="AO19">
            <v>0</v>
          </cell>
          <cell r="AP19">
            <v>0</v>
          </cell>
          <cell r="AS19">
            <v>0</v>
          </cell>
          <cell r="AT19">
            <v>1312.8920000000001</v>
          </cell>
          <cell r="AU19">
            <v>5524.1020000000008</v>
          </cell>
          <cell r="AV19">
            <v>0</v>
          </cell>
          <cell r="BA19">
            <v>6836.9940000000006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J19">
            <v>0</v>
          </cell>
        </row>
        <row r="20">
          <cell r="F20">
            <v>42580.111000000004</v>
          </cell>
          <cell r="G20">
            <v>0</v>
          </cell>
          <cell r="H20">
            <v>0</v>
          </cell>
          <cell r="I20">
            <v>217.178</v>
          </cell>
          <cell r="J20">
            <v>8.3190000000000008</v>
          </cell>
          <cell r="K20">
            <v>311.66399999999999</v>
          </cell>
          <cell r="L20">
            <v>0</v>
          </cell>
          <cell r="M20">
            <v>9.93</v>
          </cell>
          <cell r="N20">
            <v>9.2360000000000007</v>
          </cell>
          <cell r="O20">
            <v>9.2360000000000007</v>
          </cell>
          <cell r="P20">
            <v>24.763999999999999</v>
          </cell>
          <cell r="Q20">
            <v>0</v>
          </cell>
          <cell r="R20">
            <v>1.653</v>
          </cell>
          <cell r="S20">
            <v>9.93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Z20">
            <v>601.90999999999985</v>
          </cell>
          <cell r="AA20">
            <v>5731.549</v>
          </cell>
          <cell r="AB20">
            <v>0</v>
          </cell>
          <cell r="AC20">
            <v>0</v>
          </cell>
          <cell r="AD20">
            <v>0</v>
          </cell>
          <cell r="AH20">
            <v>5731.549</v>
          </cell>
          <cell r="AI20">
            <v>6333.4589999999998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1039.394</v>
          </cell>
          <cell r="AP20">
            <v>0</v>
          </cell>
          <cell r="AS20">
            <v>1039.394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13426.341</v>
          </cell>
          <cell r="BD20">
            <v>0</v>
          </cell>
          <cell r="BE20">
            <v>0</v>
          </cell>
          <cell r="BF20">
            <v>21780.916999999998</v>
          </cell>
          <cell r="BG20">
            <v>0</v>
          </cell>
          <cell r="BH20">
            <v>0</v>
          </cell>
          <cell r="BJ20">
            <v>35207.258000000002</v>
          </cell>
        </row>
        <row r="21">
          <cell r="F21">
            <v>986769.5060099992</v>
          </cell>
          <cell r="G21">
            <v>233331.85899999988</v>
          </cell>
          <cell r="H21">
            <v>-104187.11198999977</v>
          </cell>
          <cell r="I21">
            <v>-62289.172000000108</v>
          </cell>
          <cell r="J21">
            <v>5850.3719999998939</v>
          </cell>
          <cell r="K21">
            <v>113697.39100000013</v>
          </cell>
          <cell r="L21">
            <v>182610.06500000012</v>
          </cell>
          <cell r="M21">
            <v>-38691.111000000128</v>
          </cell>
          <cell r="N21">
            <v>70235.028999999951</v>
          </cell>
          <cell r="O21">
            <v>-76735.298000000053</v>
          </cell>
          <cell r="P21">
            <v>-42600.381000000052</v>
          </cell>
          <cell r="Q21">
            <v>-60636.871999999996</v>
          </cell>
          <cell r="R21">
            <v>31565.002000000059</v>
          </cell>
          <cell r="S21">
            <v>68467.20799999997</v>
          </cell>
          <cell r="T21">
            <v>85403.376999999979</v>
          </cell>
          <cell r="U21">
            <v>39536.473999999995</v>
          </cell>
          <cell r="V21">
            <v>116347.30200000004</v>
          </cell>
          <cell r="W21">
            <v>-10044.988000000019</v>
          </cell>
          <cell r="Z21">
            <v>551859.14501000009</v>
          </cell>
          <cell r="AA21">
            <v>-7504.01</v>
          </cell>
          <cell r="AB21">
            <v>-178.958</v>
          </cell>
          <cell r="AC21">
            <v>9161.6449999999986</v>
          </cell>
          <cell r="AD21">
            <v>22113.423999999999</v>
          </cell>
          <cell r="AH21">
            <v>23592.100999999999</v>
          </cell>
          <cell r="AI21">
            <v>575451.24601000338</v>
          </cell>
          <cell r="AJ21">
            <v>37567.149999999987</v>
          </cell>
          <cell r="AK21">
            <v>-20450.536999999989</v>
          </cell>
          <cell r="AL21">
            <v>-89701.923999999941</v>
          </cell>
          <cell r="AN21">
            <v>-72585.311000000045</v>
          </cell>
          <cell r="AO21">
            <v>-37086.785000000964</v>
          </cell>
          <cell r="AP21">
            <v>0</v>
          </cell>
          <cell r="AS21">
            <v>-37086.785000000964</v>
          </cell>
          <cell r="AT21">
            <v>4301.9450000000006</v>
          </cell>
          <cell r="AU21">
            <v>176.68599999999969</v>
          </cell>
          <cell r="AV21">
            <v>62516.203999999998</v>
          </cell>
          <cell r="BA21">
            <v>66994.834999999992</v>
          </cell>
          <cell r="BB21">
            <v>0</v>
          </cell>
          <cell r="BC21">
            <v>-11731.441000000001</v>
          </cell>
          <cell r="BD21">
            <v>497233.32</v>
          </cell>
          <cell r="BE21">
            <v>0</v>
          </cell>
          <cell r="BF21">
            <v>-31506.358</v>
          </cell>
          <cell r="BG21">
            <v>0</v>
          </cell>
          <cell r="BH21">
            <v>0</v>
          </cell>
          <cell r="BJ21">
            <v>453995.52100000007</v>
          </cell>
        </row>
        <row r="22">
          <cell r="F22">
            <v>1424357.4300032887</v>
          </cell>
          <cell r="G22">
            <v>179234.04772405184</v>
          </cell>
          <cell r="H22">
            <v>154520.20656052767</v>
          </cell>
          <cell r="I22">
            <v>81123.018853386457</v>
          </cell>
          <cell r="J22">
            <v>58359.778787746065</v>
          </cell>
          <cell r="K22">
            <v>130819.76965873523</v>
          </cell>
          <cell r="L22">
            <v>137487.07389046671</v>
          </cell>
          <cell r="M22">
            <v>42395.047559133556</v>
          </cell>
          <cell r="N22">
            <v>121626.88465114872</v>
          </cell>
          <cell r="O22">
            <v>23353.340534936568</v>
          </cell>
          <cell r="P22">
            <v>46513.034125680424</v>
          </cell>
          <cell r="Q22">
            <v>40029.93206189874</v>
          </cell>
          <cell r="R22">
            <v>61161.119722872463</v>
          </cell>
          <cell r="S22">
            <v>127221.33401338448</v>
          </cell>
          <cell r="T22">
            <v>29975.493068607087</v>
          </cell>
          <cell r="U22">
            <v>23611.071025707279</v>
          </cell>
          <cell r="V22">
            <v>87122.404215507006</v>
          </cell>
          <cell r="W22">
            <v>29765.759284929438</v>
          </cell>
          <cell r="Z22">
            <v>1374319.3157387197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1374319.3157387197</v>
          </cell>
          <cell r="AJ22">
            <v>21752.268646574659</v>
          </cell>
          <cell r="AK22">
            <v>16496.270887994287</v>
          </cell>
          <cell r="AL22">
            <v>11789.57473</v>
          </cell>
          <cell r="AN22">
            <v>50038.114264568947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J22">
            <v>0</v>
          </cell>
        </row>
        <row r="23">
          <cell r="F23">
            <v>193960.98800328851</v>
          </cell>
          <cell r="G23">
            <v>14370.433308780835</v>
          </cell>
          <cell r="H23">
            <v>12388.953725219726</v>
          </cell>
          <cell r="I23">
            <v>6504.1935226189889</v>
          </cell>
          <cell r="J23">
            <v>4679.107120739126</v>
          </cell>
          <cell r="K23">
            <v>17802.613212662451</v>
          </cell>
          <cell r="L23">
            <v>18709.933556661676</v>
          </cell>
          <cell r="M23">
            <v>5769.3316216390967</v>
          </cell>
          <cell r="N23">
            <v>16551.599114980785</v>
          </cell>
          <cell r="O23">
            <v>3178.0402140411998</v>
          </cell>
          <cell r="P23">
            <v>6329.7279764898758</v>
          </cell>
          <cell r="Q23">
            <v>5447.4747913573765</v>
          </cell>
          <cell r="R23">
            <v>8323.1132490144628</v>
          </cell>
          <cell r="S23">
            <v>10200.214295825104</v>
          </cell>
          <cell r="T23">
            <v>2403.3426099009844</v>
          </cell>
          <cell r="U23">
            <v>1893.0628741153087</v>
          </cell>
          <cell r="V23">
            <v>6985.2057428683675</v>
          </cell>
          <cell r="W23">
            <v>2386.5268018041979</v>
          </cell>
          <cell r="Z23">
            <v>143922.87373871956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143922.87373871956</v>
          </cell>
          <cell r="AJ23">
            <v>21752.268646574659</v>
          </cell>
          <cell r="AK23">
            <v>16496.270887994287</v>
          </cell>
          <cell r="AL23">
            <v>11789.57473</v>
          </cell>
          <cell r="AN23">
            <v>50038.114264568947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J23">
            <v>0</v>
          </cell>
        </row>
        <row r="24">
          <cell r="F24">
            <v>403458.62200000009</v>
          </cell>
          <cell r="G24">
            <v>54060.337318436905</v>
          </cell>
          <cell r="H24">
            <v>46606.181109281002</v>
          </cell>
          <cell r="I24">
            <v>24468.218060086154</v>
          </cell>
          <cell r="J24">
            <v>17602.39958399121</v>
          </cell>
          <cell r="K24">
            <v>37059.393741396198</v>
          </cell>
          <cell r="L24">
            <v>38948.146896687467</v>
          </cell>
          <cell r="M24">
            <v>12009.918411244038</v>
          </cell>
          <cell r="N24">
            <v>34455.179210180824</v>
          </cell>
          <cell r="O24">
            <v>6615.6716551238242</v>
          </cell>
          <cell r="P24">
            <v>13176.485864997769</v>
          </cell>
          <cell r="Q24">
            <v>11339.914583194561</v>
          </cell>
          <cell r="R24">
            <v>17326.081702997828</v>
          </cell>
          <cell r="S24">
            <v>38372.331140196467</v>
          </cell>
          <cell r="T24">
            <v>9041.168724093428</v>
          </cell>
          <cell r="U24">
            <v>7121.5401331809644</v>
          </cell>
          <cell r="V24">
            <v>26277.744768308828</v>
          </cell>
          <cell r="W24">
            <v>8977.9090966026615</v>
          </cell>
          <cell r="Z24">
            <v>403458.62200000009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403458.62200000009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J24">
            <v>0</v>
          </cell>
        </row>
        <row r="25">
          <cell r="F25">
            <v>826937.82000000007</v>
          </cell>
          <cell r="G25">
            <v>110803.27709683409</v>
          </cell>
          <cell r="H25">
            <v>95525.071726026959</v>
          </cell>
          <cell r="I25">
            <v>50150.607270681321</v>
          </cell>
          <cell r="J25">
            <v>36078.272083015727</v>
          </cell>
          <cell r="K25">
            <v>75957.762704676585</v>
          </cell>
          <cell r="L25">
            <v>79828.993437117548</v>
          </cell>
          <cell r="M25">
            <v>24615.797526250426</v>
          </cell>
          <cell r="N25">
            <v>70620.106325987115</v>
          </cell>
          <cell r="O25">
            <v>13559.628665771543</v>
          </cell>
          <cell r="P25">
            <v>27006.820284192778</v>
          </cell>
          <cell r="Q25">
            <v>23242.542687346799</v>
          </cell>
          <cell r="R25">
            <v>35511.924770860169</v>
          </cell>
          <cell r="S25">
            <v>78648.788577362895</v>
          </cell>
          <cell r="T25">
            <v>18530.981734612673</v>
          </cell>
          <cell r="U25">
            <v>14596.468018411006</v>
          </cell>
          <cell r="V25">
            <v>53859.453704329811</v>
          </cell>
          <cell r="W25">
            <v>18401.323386522577</v>
          </cell>
          <cell r="Z25">
            <v>826937.82000000007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826937.82000000007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J25">
            <v>0</v>
          </cell>
        </row>
        <row r="26">
          <cell r="F26">
            <v>-437587.92399328947</v>
          </cell>
          <cell r="G26">
            <v>54097.811275948043</v>
          </cell>
          <cell r="H26">
            <v>-258707.31855052745</v>
          </cell>
          <cell r="I26">
            <v>-143412.19085338656</v>
          </cell>
          <cell r="J26">
            <v>-52509.406787746171</v>
          </cell>
          <cell r="K26">
            <v>-17122.378658735091</v>
          </cell>
          <cell r="L26">
            <v>45122.99110953341</v>
          </cell>
          <cell r="M26">
            <v>-81086.158559133677</v>
          </cell>
          <cell r="N26">
            <v>-51391.85565114877</v>
          </cell>
          <cell r="O26">
            <v>-100088.63853493662</v>
          </cell>
          <cell r="P26">
            <v>-89113.415125680476</v>
          </cell>
          <cell r="Q26">
            <v>-100666.80406189873</v>
          </cell>
          <cell r="R26">
            <v>-29596.117722872405</v>
          </cell>
          <cell r="S26">
            <v>-58754.126013384506</v>
          </cell>
          <cell r="T26">
            <v>55427.883931392891</v>
          </cell>
          <cell r="U26">
            <v>15925.402974292716</v>
          </cell>
          <cell r="V26">
            <v>29224.897784493034</v>
          </cell>
          <cell r="W26">
            <v>-39810.747284929457</v>
          </cell>
          <cell r="Z26">
            <v>-822460.17072871956</v>
          </cell>
          <cell r="AA26">
            <v>-7504.01</v>
          </cell>
          <cell r="AB26">
            <v>-178.958</v>
          </cell>
          <cell r="AC26">
            <v>9161.6449999999986</v>
          </cell>
          <cell r="AD26">
            <v>22113.423999999999</v>
          </cell>
          <cell r="AH26">
            <v>23592.100999999999</v>
          </cell>
          <cell r="AI26">
            <v>-798868.06972871628</v>
          </cell>
          <cell r="AJ26">
            <v>15814.881353425328</v>
          </cell>
          <cell r="AK26">
            <v>-36946.807887994277</v>
          </cell>
          <cell r="AL26">
            <v>-101491.49872999993</v>
          </cell>
          <cell r="AN26">
            <v>-122623.425264569</v>
          </cell>
          <cell r="AO26">
            <v>-37086.785000000964</v>
          </cell>
          <cell r="AP26">
            <v>0</v>
          </cell>
          <cell r="AS26">
            <v>-37086.785000000964</v>
          </cell>
          <cell r="AT26">
            <v>4301.9450000000006</v>
          </cell>
          <cell r="AU26">
            <v>176.68599999999969</v>
          </cell>
          <cell r="AV26">
            <v>62516.203999999998</v>
          </cell>
          <cell r="BA26">
            <v>66994.834999999992</v>
          </cell>
          <cell r="BB26">
            <v>0</v>
          </cell>
          <cell r="BC26">
            <v>-11731.441000000001</v>
          </cell>
          <cell r="BD26">
            <v>497233.32</v>
          </cell>
          <cell r="BE26">
            <v>0</v>
          </cell>
          <cell r="BF26">
            <v>-31506.358</v>
          </cell>
          <cell r="BG26">
            <v>0</v>
          </cell>
          <cell r="BH26">
            <v>0</v>
          </cell>
          <cell r="BJ26">
            <v>453995.52100000007</v>
          </cell>
        </row>
        <row r="27">
          <cell r="F27">
            <v>-437587.92399328965</v>
          </cell>
          <cell r="G27">
            <v>54097.811275948072</v>
          </cell>
          <cell r="H27">
            <v>-258707.31855052742</v>
          </cell>
          <cell r="I27">
            <v>-143412.19085338659</v>
          </cell>
          <cell r="J27">
            <v>-52509.406787746164</v>
          </cell>
          <cell r="K27">
            <v>-17122.378658735102</v>
          </cell>
          <cell r="L27">
            <v>45122.991109533425</v>
          </cell>
          <cell r="M27">
            <v>-81086.158559133677</v>
          </cell>
          <cell r="N27">
            <v>-51391.855651148762</v>
          </cell>
          <cell r="O27">
            <v>-100088.63853493662</v>
          </cell>
          <cell r="P27">
            <v>-89113.415125680476</v>
          </cell>
          <cell r="Q27">
            <v>-100666.80406189871</v>
          </cell>
          <cell r="R27">
            <v>-29596.117722872401</v>
          </cell>
          <cell r="S27">
            <v>-58754.126013384499</v>
          </cell>
          <cell r="T27">
            <v>55427.883931392906</v>
          </cell>
          <cell r="U27">
            <v>15925.402974292714</v>
          </cell>
          <cell r="V27">
            <v>29224.897784493045</v>
          </cell>
          <cell r="W27">
            <v>-39810.747284929457</v>
          </cell>
          <cell r="Z27">
            <v>-822460.17072871979</v>
          </cell>
          <cell r="AA27">
            <v>-7504.01</v>
          </cell>
          <cell r="AB27">
            <v>-178.958</v>
          </cell>
          <cell r="AC27">
            <v>9161.6449999999986</v>
          </cell>
          <cell r="AD27">
            <v>22113.423999999999</v>
          </cell>
          <cell r="AH27">
            <v>23592.100999999999</v>
          </cell>
          <cell r="AI27">
            <v>-798868.06972871977</v>
          </cell>
          <cell r="AJ27">
            <v>15814.881353425328</v>
          </cell>
          <cell r="AK27">
            <v>-36946.807887994277</v>
          </cell>
          <cell r="AL27">
            <v>-101491.49872999993</v>
          </cell>
          <cell r="AN27">
            <v>-122623.42526456888</v>
          </cell>
          <cell r="AO27">
            <v>-37086.785000000964</v>
          </cell>
          <cell r="AP27">
            <v>0</v>
          </cell>
          <cell r="AS27">
            <v>-37086.785000000964</v>
          </cell>
          <cell r="AT27">
            <v>4301.9450000000006</v>
          </cell>
          <cell r="AU27">
            <v>176.68599999999969</v>
          </cell>
          <cell r="AV27">
            <v>62516.203999999998</v>
          </cell>
          <cell r="BA27">
            <v>66994.834999999992</v>
          </cell>
          <cell r="BB27">
            <v>0</v>
          </cell>
          <cell r="BC27">
            <v>-11731.441000000001</v>
          </cell>
          <cell r="BD27">
            <v>497233.32</v>
          </cell>
          <cell r="BE27">
            <v>0</v>
          </cell>
          <cell r="BF27">
            <v>-31506.357999999997</v>
          </cell>
          <cell r="BG27">
            <v>0</v>
          </cell>
          <cell r="BH27">
            <v>0</v>
          </cell>
          <cell r="BJ27">
            <v>453995.52100000001</v>
          </cell>
        </row>
        <row r="28"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3.4924596548080444E-9</v>
          </cell>
          <cell r="AJ28">
            <v>0</v>
          </cell>
          <cell r="AK28">
            <v>0</v>
          </cell>
          <cell r="AL28">
            <v>0</v>
          </cell>
          <cell r="AN28">
            <v>-1.1641532182693481E-10</v>
          </cell>
          <cell r="AO28">
            <v>0</v>
          </cell>
          <cell r="AP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J28">
            <v>0</v>
          </cell>
        </row>
        <row r="29">
          <cell r="AJ29">
            <v>-14593.270646574667</v>
          </cell>
          <cell r="AK29">
            <v>-54825.050580865303</v>
          </cell>
          <cell r="AL29">
            <v>29111.640041363746</v>
          </cell>
        </row>
        <row r="31">
          <cell r="G31">
            <v>29011</v>
          </cell>
          <cell r="H31">
            <v>26297</v>
          </cell>
          <cell r="I31">
            <v>14177</v>
          </cell>
          <cell r="J31">
            <v>9536.5</v>
          </cell>
          <cell r="K31">
            <v>17712</v>
          </cell>
          <cell r="L31">
            <v>20565</v>
          </cell>
          <cell r="M31">
            <v>6521</v>
          </cell>
          <cell r="N31">
            <v>18136.5</v>
          </cell>
          <cell r="O31">
            <v>3796</v>
          </cell>
          <cell r="P31">
            <v>7563</v>
          </cell>
          <cell r="Q31">
            <v>6879</v>
          </cell>
          <cell r="R31">
            <v>8572</v>
          </cell>
          <cell r="S31">
            <v>20895</v>
          </cell>
          <cell r="T31">
            <v>4295</v>
          </cell>
          <cell r="U31">
            <v>3452.5</v>
          </cell>
          <cell r="V31">
            <v>14159.5</v>
          </cell>
          <cell r="W31">
            <v>3720</v>
          </cell>
          <cell r="X31">
            <v>0</v>
          </cell>
          <cell r="Y31">
            <v>0</v>
          </cell>
          <cell r="Z31">
            <v>215288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215288</v>
          </cell>
          <cell r="AJ31">
            <v>19249</v>
          </cell>
          <cell r="AK31">
            <v>32200</v>
          </cell>
          <cell r="AL31">
            <v>15140</v>
          </cell>
          <cell r="AN31">
            <v>66589</v>
          </cell>
          <cell r="AO31">
            <v>6655.6190000000006</v>
          </cell>
          <cell r="AP31">
            <v>0</v>
          </cell>
          <cell r="AS31">
            <v>6655.6190000000006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J31">
            <v>0</v>
          </cell>
        </row>
        <row r="32">
          <cell r="F32">
            <v>29447913.558999997</v>
          </cell>
          <cell r="G32">
            <v>2833126.17</v>
          </cell>
          <cell r="H32">
            <v>2442478.1260000002</v>
          </cell>
          <cell r="I32">
            <v>1282299.6000000001</v>
          </cell>
          <cell r="J32">
            <v>922484.41999999993</v>
          </cell>
          <cell r="K32">
            <v>1942162.1</v>
          </cell>
          <cell r="L32">
            <v>2041145.5</v>
          </cell>
          <cell r="M32">
            <v>629400.69999999995</v>
          </cell>
          <cell r="N32">
            <v>1805683.7</v>
          </cell>
          <cell r="O32">
            <v>346705.8</v>
          </cell>
          <cell r="P32">
            <v>690536.7</v>
          </cell>
          <cell r="Q32">
            <v>594287.98199999996</v>
          </cell>
          <cell r="R32">
            <v>908003.5</v>
          </cell>
          <cell r="S32">
            <v>2010968.872</v>
          </cell>
          <cell r="T32">
            <v>473818.2</v>
          </cell>
          <cell r="U32">
            <v>373216.71899999998</v>
          </cell>
          <cell r="V32">
            <v>1377131</v>
          </cell>
          <cell r="W32">
            <v>470502.96899999998</v>
          </cell>
          <cell r="X32">
            <v>0</v>
          </cell>
          <cell r="Y32">
            <v>0</v>
          </cell>
          <cell r="Z32">
            <v>21143952.057999998</v>
          </cell>
          <cell r="AA32">
            <v>0</v>
          </cell>
          <cell r="AB32">
            <v>0</v>
          </cell>
          <cell r="AC32">
            <v>12500</v>
          </cell>
          <cell r="AD32">
            <v>30840</v>
          </cell>
          <cell r="AH32">
            <v>43340</v>
          </cell>
          <cell r="AI32">
            <v>21187292.057999998</v>
          </cell>
          <cell r="AJ32">
            <v>548133.4</v>
          </cell>
          <cell r="AK32">
            <v>415688</v>
          </cell>
          <cell r="AL32">
            <v>297084.40000000002</v>
          </cell>
          <cell r="AN32">
            <v>1260905.8</v>
          </cell>
          <cell r="AO32">
            <v>6923776.4969999995</v>
          </cell>
          <cell r="AP32">
            <v>0</v>
          </cell>
          <cell r="AS32">
            <v>6923776.4969999995</v>
          </cell>
          <cell r="AT32">
            <v>5788.1</v>
          </cell>
          <cell r="AU32">
            <v>5940</v>
          </cell>
          <cell r="AV32">
            <v>62516.203999999998</v>
          </cell>
          <cell r="BA32">
            <v>74244.304000000004</v>
          </cell>
          <cell r="BB32">
            <v>0</v>
          </cell>
          <cell r="BC32">
            <v>1694.9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J32">
            <v>1694.9</v>
          </cell>
        </row>
        <row r="33">
          <cell r="F33">
            <v>27522785.242990009</v>
          </cell>
          <cell r="G33">
            <v>2523448.852</v>
          </cell>
          <cell r="H33">
            <v>2474495.29599</v>
          </cell>
          <cell r="I33">
            <v>1286729.7850000001</v>
          </cell>
          <cell r="J33">
            <v>878434.19000000006</v>
          </cell>
          <cell r="K33">
            <v>1764893.97</v>
          </cell>
          <cell r="L33">
            <v>1799829.0219999999</v>
          </cell>
          <cell r="M33">
            <v>632752.89900000009</v>
          </cell>
          <cell r="N33">
            <v>1674304.75</v>
          </cell>
          <cell r="O33">
            <v>391858.43300000002</v>
          </cell>
          <cell r="P33">
            <v>700267.16500000004</v>
          </cell>
          <cell r="Q33">
            <v>620003.46</v>
          </cell>
          <cell r="R33">
            <v>846721.01099999994</v>
          </cell>
          <cell r="S33">
            <v>1889996.243</v>
          </cell>
          <cell r="T33">
            <v>377853.26500000001</v>
          </cell>
          <cell r="U33">
            <v>319036.49699999997</v>
          </cell>
          <cell r="V33">
            <v>1230539.226</v>
          </cell>
          <cell r="W33">
            <v>462426.826</v>
          </cell>
          <cell r="X33">
            <v>0</v>
          </cell>
          <cell r="Y33">
            <v>0</v>
          </cell>
          <cell r="Z33">
            <v>19873590.889990006</v>
          </cell>
          <cell r="AA33">
            <v>0</v>
          </cell>
          <cell r="AB33">
            <v>0</v>
          </cell>
          <cell r="AC33">
            <v>3338.355</v>
          </cell>
          <cell r="AD33">
            <v>8726.5759999999991</v>
          </cell>
          <cell r="AH33">
            <v>12064.930999999999</v>
          </cell>
          <cell r="AI33">
            <v>19885655.820990007</v>
          </cell>
          <cell r="AJ33">
            <v>510566.25000000006</v>
          </cell>
          <cell r="AK33">
            <v>436138.53700000001</v>
          </cell>
          <cell r="AL33">
            <v>386786.32399999996</v>
          </cell>
          <cell r="AN33">
            <v>1333491.111</v>
          </cell>
          <cell r="AO33">
            <v>6793622.1620000005</v>
          </cell>
          <cell r="AP33">
            <v>0</v>
          </cell>
          <cell r="AS33">
            <v>6793622.1620000005</v>
          </cell>
          <cell r="AT33">
            <v>1486.155</v>
          </cell>
          <cell r="AU33">
            <v>5763.3140000000003</v>
          </cell>
          <cell r="AV33">
            <v>0</v>
          </cell>
          <cell r="BA33">
            <v>7249.4690000000001</v>
          </cell>
          <cell r="BB33">
            <v>0</v>
          </cell>
          <cell r="BC33">
            <v>0</v>
          </cell>
          <cell r="BD33">
            <v>-497233.32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J33">
            <v>-497233.32</v>
          </cell>
        </row>
        <row r="34">
          <cell r="F34">
            <v>1925128.3160099871</v>
          </cell>
          <cell r="G34">
            <v>309677.31799999997</v>
          </cell>
          <cell r="H34">
            <v>-32017.169989999849</v>
          </cell>
          <cell r="I34">
            <v>-4430.1850000000559</v>
          </cell>
          <cell r="J34">
            <v>44050.229999999865</v>
          </cell>
          <cell r="K34">
            <v>177268.13000000012</v>
          </cell>
          <cell r="L34">
            <v>241316.47800000012</v>
          </cell>
          <cell r="M34">
            <v>-3352.1990000001388</v>
          </cell>
          <cell r="N34">
            <v>131378.94999999995</v>
          </cell>
          <cell r="O34">
            <v>-45152.633000000031</v>
          </cell>
          <cell r="P34">
            <v>-9730.4650000000838</v>
          </cell>
          <cell r="Q34">
            <v>-25715.478000000003</v>
          </cell>
          <cell r="R34">
            <v>61282.48900000006</v>
          </cell>
          <cell r="S34">
            <v>120972.62899999996</v>
          </cell>
          <cell r="T34">
            <v>95964.934999999998</v>
          </cell>
          <cell r="U34">
            <v>54180.222000000009</v>
          </cell>
          <cell r="V34">
            <v>146591.77399999998</v>
          </cell>
          <cell r="W34">
            <v>8076.1429999999818</v>
          </cell>
          <cell r="X34">
            <v>0</v>
          </cell>
          <cell r="Y34">
            <v>0</v>
          </cell>
          <cell r="Z34">
            <v>1270361.1680099927</v>
          </cell>
          <cell r="AA34">
            <v>0</v>
          </cell>
          <cell r="AB34">
            <v>0</v>
          </cell>
          <cell r="AC34">
            <v>9161.6450000000004</v>
          </cell>
          <cell r="AD34">
            <v>22113.423999999999</v>
          </cell>
          <cell r="AH34">
            <v>31275.069000000003</v>
          </cell>
          <cell r="AI34">
            <v>1301636.237009991</v>
          </cell>
          <cell r="AJ34">
            <v>37567.149999999965</v>
          </cell>
          <cell r="AK34">
            <v>-20450.537000000011</v>
          </cell>
          <cell r="AL34">
            <v>-89701.923999999941</v>
          </cell>
          <cell r="AN34">
            <v>-72585.310999999987</v>
          </cell>
          <cell r="AO34">
            <v>130154.33499999903</v>
          </cell>
          <cell r="AP34">
            <v>0</v>
          </cell>
          <cell r="AS34">
            <v>130154.33499999903</v>
          </cell>
          <cell r="AT34">
            <v>4301.9450000000006</v>
          </cell>
          <cell r="AU34">
            <v>176.68599999999969</v>
          </cell>
          <cell r="AV34">
            <v>62516.203999999998</v>
          </cell>
          <cell r="BA34">
            <v>66994.835000000006</v>
          </cell>
          <cell r="BB34">
            <v>0</v>
          </cell>
          <cell r="BC34">
            <v>1694.9</v>
          </cell>
          <cell r="BD34">
            <v>497233.32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J34">
            <v>498928.22000000003</v>
          </cell>
        </row>
        <row r="35">
          <cell r="F35">
            <v>2362716.2400032887</v>
          </cell>
          <cell r="G35">
            <v>255579.50672405184</v>
          </cell>
          <cell r="H35">
            <v>226690.14856052765</v>
          </cell>
          <cell r="I35">
            <v>138982.00585338648</v>
          </cell>
          <cell r="J35">
            <v>96559.636787746058</v>
          </cell>
          <cell r="K35">
            <v>194390.5086587352</v>
          </cell>
          <cell r="L35">
            <v>196193.48689046671</v>
          </cell>
          <cell r="M35">
            <v>77733.959559133538</v>
          </cell>
          <cell r="N35">
            <v>182770.80565114872</v>
          </cell>
          <cell r="O35">
            <v>54936.005534936565</v>
          </cell>
          <cell r="P35">
            <v>79382.950125680421</v>
          </cell>
          <cell r="Q35">
            <v>74951.326061898741</v>
          </cell>
          <cell r="R35">
            <v>90878.606722872471</v>
          </cell>
          <cell r="S35">
            <v>179726.75501338448</v>
          </cell>
          <cell r="T35">
            <v>40537.051068607092</v>
          </cell>
          <cell r="U35">
            <v>38254.819025707278</v>
          </cell>
          <cell r="V35">
            <v>117366.87621550701</v>
          </cell>
          <cell r="W35">
            <v>47886.890284929439</v>
          </cell>
          <cell r="X35">
            <v>0</v>
          </cell>
          <cell r="Y35">
            <v>0</v>
          </cell>
          <cell r="Z35">
            <v>2092821.3387387199</v>
          </cell>
          <cell r="AA35">
            <v>7504.01</v>
          </cell>
          <cell r="AB35">
            <v>178.958</v>
          </cell>
          <cell r="AC35">
            <v>0</v>
          </cell>
          <cell r="AD35">
            <v>0</v>
          </cell>
          <cell r="AH35">
            <v>7682.9679999999998</v>
          </cell>
          <cell r="AI35">
            <v>2100504.3067387198</v>
          </cell>
          <cell r="AJ35">
            <v>21752.268646574659</v>
          </cell>
          <cell r="AK35">
            <v>16496.270887994287</v>
          </cell>
          <cell r="AL35">
            <v>11789.57473</v>
          </cell>
          <cell r="AN35">
            <v>50038.114264568947</v>
          </cell>
          <cell r="AO35">
            <v>167241.12</v>
          </cell>
          <cell r="AP35">
            <v>0</v>
          </cell>
          <cell r="AS35">
            <v>167241.12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13426.341</v>
          </cell>
          <cell r="BD35">
            <v>0</v>
          </cell>
          <cell r="BE35">
            <v>0</v>
          </cell>
          <cell r="BF35">
            <v>31506.358</v>
          </cell>
          <cell r="BG35">
            <v>0</v>
          </cell>
          <cell r="BH35">
            <v>0</v>
          </cell>
          <cell r="BJ35">
            <v>44932.699000000001</v>
          </cell>
        </row>
        <row r="36">
          <cell r="F36">
            <v>-437587.92399330158</v>
          </cell>
          <cell r="G36">
            <v>54097.81127594813</v>
          </cell>
          <cell r="H36">
            <v>-258707.3185505275</v>
          </cell>
          <cell r="I36">
            <v>-143412.19085338654</v>
          </cell>
          <cell r="J36">
            <v>-52509.406787746193</v>
          </cell>
          <cell r="K36">
            <v>-17122.378658735077</v>
          </cell>
          <cell r="L36">
            <v>45122.99110953341</v>
          </cell>
          <cell r="M36">
            <v>-81086.158559133677</v>
          </cell>
          <cell r="N36">
            <v>-51391.85565114877</v>
          </cell>
          <cell r="O36">
            <v>-100088.63853493659</v>
          </cell>
          <cell r="P36">
            <v>-89113.415125680505</v>
          </cell>
          <cell r="Q36">
            <v>-100666.80406189874</v>
          </cell>
          <cell r="R36">
            <v>-29596.117722872412</v>
          </cell>
          <cell r="S36">
            <v>-58754.126013384521</v>
          </cell>
          <cell r="T36">
            <v>55427.883931392906</v>
          </cell>
          <cell r="U36">
            <v>15925.402974292731</v>
          </cell>
          <cell r="V36">
            <v>29224.897784492961</v>
          </cell>
          <cell r="W36">
            <v>-39810.747284929457</v>
          </cell>
          <cell r="X36">
            <v>0</v>
          </cell>
          <cell r="Y36">
            <v>0</v>
          </cell>
          <cell r="Z36">
            <v>-822460.17072872724</v>
          </cell>
          <cell r="AA36">
            <v>-7504.01</v>
          </cell>
          <cell r="AB36">
            <v>-178.958</v>
          </cell>
          <cell r="AC36">
            <v>9161.6450000000004</v>
          </cell>
          <cell r="AD36">
            <v>22113.423999999999</v>
          </cell>
          <cell r="AH36">
            <v>23592.101000000002</v>
          </cell>
          <cell r="AI36">
            <v>-798868.06972872885</v>
          </cell>
          <cell r="AJ36">
            <v>15814.881353425306</v>
          </cell>
          <cell r="AK36">
            <v>-36946.807887994299</v>
          </cell>
          <cell r="AL36">
            <v>-101491.49872999993</v>
          </cell>
          <cell r="AN36">
            <v>-122623.42526456894</v>
          </cell>
          <cell r="AO36">
            <v>-37086.785000000964</v>
          </cell>
          <cell r="AP36">
            <v>0</v>
          </cell>
          <cell r="AS36">
            <v>-37086.785000000964</v>
          </cell>
          <cell r="AT36">
            <v>4301.9450000000006</v>
          </cell>
          <cell r="AU36">
            <v>176.68599999999969</v>
          </cell>
          <cell r="AV36">
            <v>62516.203999999998</v>
          </cell>
          <cell r="BA36">
            <v>66994.835000000006</v>
          </cell>
          <cell r="BB36">
            <v>0</v>
          </cell>
          <cell r="BC36">
            <v>-11731.441000000001</v>
          </cell>
          <cell r="BD36">
            <v>497233.32</v>
          </cell>
          <cell r="BE36">
            <v>0</v>
          </cell>
          <cell r="BF36">
            <v>-31506.358</v>
          </cell>
          <cell r="BG36">
            <v>0</v>
          </cell>
          <cell r="BH36">
            <v>0</v>
          </cell>
          <cell r="BJ36">
            <v>453995.52100000001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-13214</v>
          </cell>
          <cell r="AK38">
            <v>-16488</v>
          </cell>
          <cell r="AL38">
            <v>-13988</v>
          </cell>
          <cell r="AN38">
            <v>-43690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-928185.4</v>
          </cell>
          <cell r="Z39">
            <v>0</v>
          </cell>
          <cell r="AH39">
            <v>0</v>
          </cell>
          <cell r="AI39">
            <v>0</v>
          </cell>
          <cell r="AJ39">
            <v>-380955.4</v>
          </cell>
          <cell r="AK39">
            <v>-265928</v>
          </cell>
          <cell r="AL39">
            <v>-281302</v>
          </cell>
          <cell r="AN39">
            <v>-928185.4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-928185.39999999991</v>
          </cell>
          <cell r="K40">
            <v>52875.661</v>
          </cell>
          <cell r="L40">
            <v>-3606.375</v>
          </cell>
          <cell r="M40">
            <v>-242.64</v>
          </cell>
          <cell r="N40">
            <v>33.521999999999998</v>
          </cell>
          <cell r="O40">
            <v>0</v>
          </cell>
          <cell r="P40">
            <v>8256.8870000000006</v>
          </cell>
          <cell r="Z40">
            <v>57317.055</v>
          </cell>
          <cell r="AH40">
            <v>0</v>
          </cell>
          <cell r="AI40">
            <v>57317.055</v>
          </cell>
          <cell r="AJ40">
            <v>-354083.44799999997</v>
          </cell>
          <cell r="AK40">
            <v>-274075.61700000003</v>
          </cell>
          <cell r="AL40">
            <v>-357343.39</v>
          </cell>
          <cell r="AN40">
            <v>-985502.45499999996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-52875.661</v>
          </cell>
          <cell r="L41">
            <v>3606.375</v>
          </cell>
          <cell r="M41">
            <v>242.64</v>
          </cell>
          <cell r="N41">
            <v>-33.521999999999998</v>
          </cell>
          <cell r="O41">
            <v>0</v>
          </cell>
          <cell r="P41">
            <v>-8256.8870000000006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-57317.055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-57317.055</v>
          </cell>
          <cell r="AJ41">
            <v>-26871.952000000048</v>
          </cell>
          <cell r="AK41">
            <v>8147.6170000000275</v>
          </cell>
          <cell r="AL41">
            <v>76041.390000000014</v>
          </cell>
          <cell r="AN41">
            <v>57317.054999999935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-52875.661</v>
          </cell>
          <cell r="L43">
            <v>3606.375</v>
          </cell>
          <cell r="M43">
            <v>242.64</v>
          </cell>
          <cell r="N43">
            <v>-33.521999999999998</v>
          </cell>
          <cell r="O43">
            <v>0</v>
          </cell>
          <cell r="P43">
            <v>-8256.8870000000006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-57317.055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-57317.055</v>
          </cell>
          <cell r="AJ43">
            <v>-26871.952000000048</v>
          </cell>
          <cell r="AK43">
            <v>8147.6170000000275</v>
          </cell>
          <cell r="AL43">
            <v>76041.390000000014</v>
          </cell>
          <cell r="AN43">
            <v>57317.054999999935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J43">
            <v>0</v>
          </cell>
        </row>
        <row r="45">
          <cell r="G45">
            <v>29011</v>
          </cell>
          <cell r="H45">
            <v>26297</v>
          </cell>
          <cell r="I45">
            <v>14177</v>
          </cell>
          <cell r="J45">
            <v>9536.5</v>
          </cell>
          <cell r="K45">
            <v>17712</v>
          </cell>
          <cell r="L45">
            <v>20565</v>
          </cell>
          <cell r="M45">
            <v>6521</v>
          </cell>
          <cell r="N45">
            <v>18136.5</v>
          </cell>
          <cell r="O45">
            <v>3796</v>
          </cell>
          <cell r="P45">
            <v>7563</v>
          </cell>
          <cell r="Q45">
            <v>6879</v>
          </cell>
          <cell r="R45">
            <v>8572</v>
          </cell>
          <cell r="S45">
            <v>20895</v>
          </cell>
          <cell r="T45">
            <v>4295</v>
          </cell>
          <cell r="U45">
            <v>3452.5</v>
          </cell>
          <cell r="V45">
            <v>14159.5</v>
          </cell>
          <cell r="W45">
            <v>3720</v>
          </cell>
          <cell r="X45">
            <v>0</v>
          </cell>
          <cell r="Y45">
            <v>0</v>
          </cell>
          <cell r="Z45">
            <v>215288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215288</v>
          </cell>
          <cell r="AJ45">
            <v>6035</v>
          </cell>
          <cell r="AK45">
            <v>15712</v>
          </cell>
          <cell r="AL45">
            <v>1152</v>
          </cell>
          <cell r="AN45">
            <v>22899</v>
          </cell>
          <cell r="AO45">
            <v>6655.6190000000006</v>
          </cell>
          <cell r="AP45">
            <v>0</v>
          </cell>
          <cell r="AS45">
            <v>6655.6190000000006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J45">
            <v>0</v>
          </cell>
        </row>
        <row r="46">
          <cell r="F46">
            <v>28519728.158999998</v>
          </cell>
          <cell r="G46">
            <v>2833126.17</v>
          </cell>
          <cell r="H46">
            <v>2442478.1260000002</v>
          </cell>
          <cell r="I46">
            <v>1282299.6000000001</v>
          </cell>
          <cell r="J46">
            <v>922484.41999999993</v>
          </cell>
          <cell r="K46">
            <v>1942162.1</v>
          </cell>
          <cell r="L46">
            <v>2041145.5</v>
          </cell>
          <cell r="M46">
            <v>629400.69999999995</v>
          </cell>
          <cell r="N46">
            <v>1805683.7</v>
          </cell>
          <cell r="O46">
            <v>346705.8</v>
          </cell>
          <cell r="P46">
            <v>690536.7</v>
          </cell>
          <cell r="Q46">
            <v>594287.98199999996</v>
          </cell>
          <cell r="R46">
            <v>908003.5</v>
          </cell>
          <cell r="S46">
            <v>2010968.872</v>
          </cell>
          <cell r="T46">
            <v>473818.2</v>
          </cell>
          <cell r="U46">
            <v>373216.71899999998</v>
          </cell>
          <cell r="V46">
            <v>1377131</v>
          </cell>
          <cell r="W46">
            <v>470502.96899999998</v>
          </cell>
          <cell r="X46">
            <v>0</v>
          </cell>
          <cell r="Y46">
            <v>0</v>
          </cell>
          <cell r="Z46">
            <v>21143952.057999998</v>
          </cell>
          <cell r="AA46">
            <v>0</v>
          </cell>
          <cell r="AB46">
            <v>0</v>
          </cell>
          <cell r="AC46">
            <v>12500</v>
          </cell>
          <cell r="AD46">
            <v>30840</v>
          </cell>
          <cell r="AH46">
            <v>43340</v>
          </cell>
          <cell r="AI46">
            <v>21187292.057999998</v>
          </cell>
          <cell r="AJ46">
            <v>167178</v>
          </cell>
          <cell r="AK46">
            <v>149760</v>
          </cell>
          <cell r="AL46">
            <v>15782.400000000023</v>
          </cell>
          <cell r="AN46">
            <v>332720.40000000002</v>
          </cell>
          <cell r="AO46">
            <v>6923776.4969999995</v>
          </cell>
          <cell r="AP46">
            <v>0</v>
          </cell>
          <cell r="AS46">
            <v>6923776.4969999995</v>
          </cell>
          <cell r="AT46">
            <v>5788.1</v>
          </cell>
          <cell r="AU46">
            <v>5940</v>
          </cell>
          <cell r="AV46">
            <v>62516.203999999998</v>
          </cell>
          <cell r="BA46">
            <v>74244.304000000004</v>
          </cell>
          <cell r="BB46">
            <v>0</v>
          </cell>
          <cell r="BC46">
            <v>1694.9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J46">
            <v>1694.9</v>
          </cell>
        </row>
        <row r="47">
          <cell r="F47">
            <v>26594599.842990004</v>
          </cell>
          <cell r="G47">
            <v>2523448.852</v>
          </cell>
          <cell r="H47">
            <v>2474495.29599</v>
          </cell>
          <cell r="I47">
            <v>1286729.7850000001</v>
          </cell>
          <cell r="J47">
            <v>878434.19000000006</v>
          </cell>
          <cell r="K47">
            <v>1817769.6310000001</v>
          </cell>
          <cell r="L47">
            <v>1796222.6469999999</v>
          </cell>
          <cell r="M47">
            <v>632510.25900000008</v>
          </cell>
          <cell r="N47">
            <v>1674338.2720000001</v>
          </cell>
          <cell r="O47">
            <v>391858.43300000002</v>
          </cell>
          <cell r="P47">
            <v>708524.05200000003</v>
          </cell>
          <cell r="Q47">
            <v>620003.46</v>
          </cell>
          <cell r="R47">
            <v>846721.01099999994</v>
          </cell>
          <cell r="S47">
            <v>1889996.243</v>
          </cell>
          <cell r="T47">
            <v>377853.26500000001</v>
          </cell>
          <cell r="U47">
            <v>319036.49699999997</v>
          </cell>
          <cell r="V47">
            <v>1230539.226</v>
          </cell>
          <cell r="W47">
            <v>462426.826</v>
          </cell>
          <cell r="X47">
            <v>0</v>
          </cell>
          <cell r="Y47">
            <v>0</v>
          </cell>
          <cell r="Z47">
            <v>19930907.944990002</v>
          </cell>
          <cell r="AA47">
            <v>0</v>
          </cell>
          <cell r="AB47">
            <v>0</v>
          </cell>
          <cell r="AC47">
            <v>3338.355</v>
          </cell>
          <cell r="AD47">
            <v>8726.5759999999991</v>
          </cell>
          <cell r="AH47">
            <v>12064.930999999999</v>
          </cell>
          <cell r="AI47">
            <v>19942972.875990003</v>
          </cell>
          <cell r="AJ47">
            <v>156482.80200000008</v>
          </cell>
          <cell r="AK47">
            <v>162062.91999999998</v>
          </cell>
          <cell r="AL47">
            <v>29442.93399999995</v>
          </cell>
          <cell r="AN47">
            <v>347988.65600000002</v>
          </cell>
          <cell r="AO47">
            <v>6793622.1620000005</v>
          </cell>
          <cell r="AP47">
            <v>0</v>
          </cell>
          <cell r="AS47">
            <v>6793622.1620000005</v>
          </cell>
          <cell r="AT47">
            <v>1486.155</v>
          </cell>
          <cell r="AU47">
            <v>5763.3140000000003</v>
          </cell>
          <cell r="AV47">
            <v>0</v>
          </cell>
          <cell r="BA47">
            <v>7249.4690000000001</v>
          </cell>
          <cell r="BB47">
            <v>0</v>
          </cell>
          <cell r="BC47">
            <v>0</v>
          </cell>
          <cell r="BD47">
            <v>-497233.32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J47">
            <v>-497233.32</v>
          </cell>
        </row>
        <row r="48">
          <cell r="F48">
            <v>1925128.3160099946</v>
          </cell>
          <cell r="G48">
            <v>309677.31799999997</v>
          </cell>
          <cell r="H48">
            <v>-32017.169989999849</v>
          </cell>
          <cell r="I48">
            <v>-4430.1850000000559</v>
          </cell>
          <cell r="J48">
            <v>44050.229999999865</v>
          </cell>
          <cell r="K48">
            <v>124392.46900000004</v>
          </cell>
          <cell r="L48">
            <v>244922.85300000012</v>
          </cell>
          <cell r="M48">
            <v>-3109.5590000001248</v>
          </cell>
          <cell r="N48">
            <v>131345.42799999984</v>
          </cell>
          <cell r="O48">
            <v>-45152.633000000031</v>
          </cell>
          <cell r="P48">
            <v>-17987.352000000072</v>
          </cell>
          <cell r="Q48">
            <v>-25715.478000000003</v>
          </cell>
          <cell r="R48">
            <v>61282.48900000006</v>
          </cell>
          <cell r="S48">
            <v>120972.62899999996</v>
          </cell>
          <cell r="T48">
            <v>95964.934999999998</v>
          </cell>
          <cell r="U48">
            <v>54180.222000000009</v>
          </cell>
          <cell r="V48">
            <v>146591.77399999998</v>
          </cell>
          <cell r="W48">
            <v>8076.1429999999818</v>
          </cell>
          <cell r="X48">
            <v>0</v>
          </cell>
          <cell r="Y48">
            <v>0</v>
          </cell>
          <cell r="Z48">
            <v>1213044.1130099967</v>
          </cell>
          <cell r="AA48">
            <v>0</v>
          </cell>
          <cell r="AB48">
            <v>0</v>
          </cell>
          <cell r="AC48">
            <v>9161.6450000000004</v>
          </cell>
          <cell r="AD48">
            <v>22113.423999999999</v>
          </cell>
          <cell r="AH48">
            <v>31275.069000000003</v>
          </cell>
          <cell r="AI48">
            <v>1244319.182009995</v>
          </cell>
          <cell r="AJ48">
            <v>10695.197999999917</v>
          </cell>
          <cell r="AK48">
            <v>-12302.919999999984</v>
          </cell>
          <cell r="AL48">
            <v>-13660.533999999927</v>
          </cell>
          <cell r="AN48">
            <v>-15268.255999999994</v>
          </cell>
          <cell r="AO48">
            <v>130154.33499999903</v>
          </cell>
          <cell r="AP48">
            <v>0</v>
          </cell>
          <cell r="AS48">
            <v>130154.33499999903</v>
          </cell>
          <cell r="AT48">
            <v>4301.9450000000006</v>
          </cell>
          <cell r="AU48">
            <v>176.68599999999969</v>
          </cell>
          <cell r="AV48">
            <v>62516.203999999998</v>
          </cell>
          <cell r="BA48">
            <v>66994.835000000006</v>
          </cell>
          <cell r="BB48">
            <v>0</v>
          </cell>
          <cell r="BC48">
            <v>1694.9</v>
          </cell>
          <cell r="BD48">
            <v>497233.32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J48">
            <v>498928.22000000003</v>
          </cell>
        </row>
        <row r="49">
          <cell r="F49">
            <v>2362716.2400032887</v>
          </cell>
          <cell r="G49">
            <v>255579.50672405184</v>
          </cell>
          <cell r="H49">
            <v>226690.14856052765</v>
          </cell>
          <cell r="I49">
            <v>138982.00585338648</v>
          </cell>
          <cell r="J49">
            <v>96559.636787746058</v>
          </cell>
          <cell r="K49">
            <v>194390.5086587352</v>
          </cell>
          <cell r="L49">
            <v>196193.48689046671</v>
          </cell>
          <cell r="M49">
            <v>77733.959559133538</v>
          </cell>
          <cell r="N49">
            <v>182770.80565114872</v>
          </cell>
          <cell r="O49">
            <v>54936.005534936565</v>
          </cell>
          <cell r="P49">
            <v>79382.950125680421</v>
          </cell>
          <cell r="Q49">
            <v>74951.326061898741</v>
          </cell>
          <cell r="R49">
            <v>90878.606722872471</v>
          </cell>
          <cell r="S49">
            <v>179726.75501338448</v>
          </cell>
          <cell r="T49">
            <v>40537.051068607092</v>
          </cell>
          <cell r="U49">
            <v>38254.819025707278</v>
          </cell>
          <cell r="V49">
            <v>117366.87621550701</v>
          </cell>
          <cell r="W49">
            <v>47886.890284929439</v>
          </cell>
          <cell r="X49">
            <v>0</v>
          </cell>
          <cell r="Y49">
            <v>0</v>
          </cell>
          <cell r="Z49">
            <v>2092821.3387387199</v>
          </cell>
          <cell r="AA49">
            <v>7504.01</v>
          </cell>
          <cell r="AB49">
            <v>178.958</v>
          </cell>
          <cell r="AC49">
            <v>0</v>
          </cell>
          <cell r="AD49">
            <v>0</v>
          </cell>
          <cell r="AH49">
            <v>7682.9679999999998</v>
          </cell>
          <cell r="AI49">
            <v>2100504.3067387198</v>
          </cell>
          <cell r="AJ49">
            <v>21752.268646574659</v>
          </cell>
          <cell r="AK49">
            <v>16496.270887994287</v>
          </cell>
          <cell r="AL49">
            <v>11789.57473</v>
          </cell>
          <cell r="AN49">
            <v>50038.114264568947</v>
          </cell>
          <cell r="AO49">
            <v>167241.12</v>
          </cell>
          <cell r="AP49">
            <v>0</v>
          </cell>
          <cell r="AS49">
            <v>167241.12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13426.341</v>
          </cell>
          <cell r="BD49">
            <v>0</v>
          </cell>
          <cell r="BE49">
            <v>0</v>
          </cell>
          <cell r="BF49">
            <v>31506.358</v>
          </cell>
          <cell r="BG49">
            <v>0</v>
          </cell>
          <cell r="BH49">
            <v>0</v>
          </cell>
          <cell r="BJ49">
            <v>44932.699000000001</v>
          </cell>
        </row>
        <row r="50">
          <cell r="F50">
            <v>-437587.92399329413</v>
          </cell>
          <cell r="G50">
            <v>54097.81127594813</v>
          </cell>
          <cell r="H50">
            <v>-258707.3185505275</v>
          </cell>
          <cell r="I50">
            <v>-143412.19085338654</v>
          </cell>
          <cell r="J50">
            <v>-52509.406787746193</v>
          </cell>
          <cell r="K50">
            <v>-69998.039658735157</v>
          </cell>
          <cell r="L50">
            <v>48729.36610953341</v>
          </cell>
          <cell r="M50">
            <v>-80843.518559133663</v>
          </cell>
          <cell r="N50">
            <v>-51425.377651148883</v>
          </cell>
          <cell r="O50">
            <v>-100088.63853493659</v>
          </cell>
          <cell r="P50">
            <v>-97370.302125680493</v>
          </cell>
          <cell r="Q50">
            <v>-100666.80406189874</v>
          </cell>
          <cell r="R50">
            <v>-29596.117722872412</v>
          </cell>
          <cell r="S50">
            <v>-58754.126013384521</v>
          </cell>
          <cell r="T50">
            <v>55427.883931392906</v>
          </cell>
          <cell r="U50">
            <v>15925.402974292731</v>
          </cell>
          <cell r="V50">
            <v>29224.897784492961</v>
          </cell>
          <cell r="W50">
            <v>-39810.747284929457</v>
          </cell>
          <cell r="X50">
            <v>0</v>
          </cell>
          <cell r="Y50">
            <v>0</v>
          </cell>
          <cell r="Z50">
            <v>-879777.22572872322</v>
          </cell>
          <cell r="AA50">
            <v>-7504.01</v>
          </cell>
          <cell r="AB50">
            <v>-178.958</v>
          </cell>
          <cell r="AC50">
            <v>9161.6450000000004</v>
          </cell>
          <cell r="AD50">
            <v>22113.423999999999</v>
          </cell>
          <cell r="AH50">
            <v>23592.101000000002</v>
          </cell>
          <cell r="AI50">
            <v>-856185.12472872483</v>
          </cell>
          <cell r="AJ50">
            <v>-11057.070646574743</v>
          </cell>
          <cell r="AK50">
            <v>-28799.190887994271</v>
          </cell>
          <cell r="AL50">
            <v>-25450.108729999927</v>
          </cell>
          <cell r="AN50">
            <v>-65306.370264568941</v>
          </cell>
          <cell r="AO50">
            <v>-37086.785000000964</v>
          </cell>
          <cell r="AP50">
            <v>0</v>
          </cell>
          <cell r="AS50">
            <v>-37086.785000000964</v>
          </cell>
          <cell r="AT50">
            <v>4301.9450000000006</v>
          </cell>
          <cell r="AU50">
            <v>176.68599999999969</v>
          </cell>
          <cell r="AV50">
            <v>62516.203999999998</v>
          </cell>
          <cell r="BA50">
            <v>66994.835000000006</v>
          </cell>
          <cell r="BB50">
            <v>0</v>
          </cell>
          <cell r="BC50">
            <v>-11731.441000000001</v>
          </cell>
          <cell r="BD50">
            <v>497233.32</v>
          </cell>
          <cell r="BE50">
            <v>0</v>
          </cell>
          <cell r="BF50">
            <v>-31506.358</v>
          </cell>
          <cell r="BG50">
            <v>0</v>
          </cell>
          <cell r="BH50">
            <v>0</v>
          </cell>
          <cell r="BJ50">
            <v>453995.52100000001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24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 t="str">
            <v>M본사_회계팀</v>
          </cell>
          <cell r="BJ6" t="str">
            <v>기타 계</v>
          </cell>
        </row>
        <row r="7">
          <cell r="G7">
            <v>322444</v>
          </cell>
          <cell r="H7">
            <v>272091</v>
          </cell>
          <cell r="I7">
            <v>126856</v>
          </cell>
          <cell r="J7">
            <v>99336.82</v>
          </cell>
          <cell r="K7">
            <v>195299</v>
          </cell>
          <cell r="L7">
            <v>171013</v>
          </cell>
          <cell r="M7">
            <v>83813</v>
          </cell>
          <cell r="N7">
            <v>213398.5</v>
          </cell>
          <cell r="O7">
            <v>68320</v>
          </cell>
          <cell r="P7">
            <v>91927</v>
          </cell>
          <cell r="Q7">
            <v>98262</v>
          </cell>
          <cell r="R7">
            <v>108931.5</v>
          </cell>
          <cell r="S7">
            <v>208976</v>
          </cell>
          <cell r="T7">
            <v>27981</v>
          </cell>
          <cell r="U7">
            <v>47998</v>
          </cell>
          <cell r="V7">
            <v>128048</v>
          </cell>
          <cell r="W7">
            <v>54002</v>
          </cell>
          <cell r="Z7">
            <v>2318696.8200000003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2318696.8200000003</v>
          </cell>
          <cell r="AJ7">
            <v>238390</v>
          </cell>
          <cell r="AK7">
            <v>236322</v>
          </cell>
          <cell r="AL7">
            <v>175320</v>
          </cell>
          <cell r="AN7">
            <v>650032</v>
          </cell>
          <cell r="AO7">
            <v>91549.474000000002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J7">
            <v>0</v>
          </cell>
        </row>
        <row r="8">
          <cell r="F8">
            <v>326467139.40599996</v>
          </cell>
          <cell r="G8">
            <v>31085544.923</v>
          </cell>
          <cell r="H8">
            <v>26344087.277000003</v>
          </cell>
          <cell r="I8">
            <v>11751660.443</v>
          </cell>
          <cell r="J8">
            <v>9490021.9940000009</v>
          </cell>
          <cell r="K8">
            <v>21027944.947000001</v>
          </cell>
          <cell r="L8">
            <v>16761080.318</v>
          </cell>
          <cell r="M8">
            <v>7561872.3000000007</v>
          </cell>
          <cell r="N8">
            <v>21253134.949999999</v>
          </cell>
          <cell r="O8">
            <v>6321053.8470000001</v>
          </cell>
          <cell r="P8">
            <v>8761840.3800000008</v>
          </cell>
          <cell r="Q8">
            <v>8708155.6710000001</v>
          </cell>
          <cell r="R8">
            <v>11372861.967999998</v>
          </cell>
          <cell r="S8">
            <v>20122703.657000002</v>
          </cell>
          <cell r="T8">
            <v>3052954.0989999999</v>
          </cell>
          <cell r="U8">
            <v>5272309.4409999987</v>
          </cell>
          <cell r="V8">
            <v>12455127.586999999</v>
          </cell>
          <cell r="W8">
            <v>6660059.881000001</v>
          </cell>
          <cell r="Z8">
            <v>228002413.68300003</v>
          </cell>
          <cell r="AA8">
            <v>125000</v>
          </cell>
          <cell r="AB8">
            <v>0</v>
          </cell>
          <cell r="AC8">
            <v>125000</v>
          </cell>
          <cell r="AD8">
            <v>300900</v>
          </cell>
          <cell r="AH8">
            <v>550900</v>
          </cell>
          <cell r="AI8">
            <v>228553313.68300003</v>
          </cell>
          <cell r="AJ8">
            <v>6779638.4000000004</v>
          </cell>
          <cell r="AK8">
            <v>3191646</v>
          </cell>
          <cell r="AL8">
            <v>3366910.4</v>
          </cell>
          <cell r="AN8">
            <v>13338194.800000001</v>
          </cell>
          <cell r="AO8">
            <v>83821366.503999978</v>
          </cell>
          <cell r="AP8">
            <v>0</v>
          </cell>
          <cell r="AS8">
            <v>83821366.503999978</v>
          </cell>
          <cell r="AT8">
            <v>56778.599999999991</v>
          </cell>
          <cell r="AU8">
            <v>58680</v>
          </cell>
          <cell r="AV8">
            <v>621971.36900000006</v>
          </cell>
          <cell r="BA8">
            <v>737429.96900000004</v>
          </cell>
          <cell r="BB8">
            <v>0</v>
          </cell>
          <cell r="BC8">
            <v>16834.449999999997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J8">
            <v>16834.449999999997</v>
          </cell>
        </row>
        <row r="9">
          <cell r="G9">
            <v>96406.026854275464</v>
          </cell>
          <cell r="H9">
            <v>96820.869771510275</v>
          </cell>
          <cell r="I9">
            <v>92637.797526329072</v>
          </cell>
          <cell r="J9">
            <v>95533.780867960144</v>
          </cell>
          <cell r="K9">
            <v>107670.52031500418</v>
          </cell>
          <cell r="L9">
            <v>98010.562460163856</v>
          </cell>
          <cell r="M9">
            <v>90223.143187810972</v>
          </cell>
          <cell r="N9">
            <v>99593.647331166809</v>
          </cell>
          <cell r="O9">
            <v>92521.279961943786</v>
          </cell>
          <cell r="P9">
            <v>95313.024247500754</v>
          </cell>
          <cell r="Q9">
            <v>88621.803657568555</v>
          </cell>
          <cell r="R9">
            <v>104403.79475174764</v>
          </cell>
          <cell r="S9">
            <v>96291.936188844658</v>
          </cell>
          <cell r="T9">
            <v>109108.11261212965</v>
          </cell>
          <cell r="U9">
            <v>109844.35686903619</v>
          </cell>
          <cell r="V9">
            <v>97269.208320317382</v>
          </cell>
          <cell r="W9">
            <v>123329.87446761233</v>
          </cell>
          <cell r="Z9">
            <v>98332.137136842241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98569.727491582962</v>
          </cell>
          <cell r="AJ9">
            <v>28439.273459457196</v>
          </cell>
          <cell r="AK9">
            <v>13505.496737502222</v>
          </cell>
          <cell r="AL9">
            <v>19204.371435090121</v>
          </cell>
          <cell r="AO9">
            <v>915585.45168702956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J9">
            <v>0</v>
          </cell>
        </row>
        <row r="10">
          <cell r="F10">
            <v>300532254.89214998</v>
          </cell>
          <cell r="G10">
            <v>27914303.964130003</v>
          </cell>
          <cell r="H10">
            <v>25142121.66787</v>
          </cell>
          <cell r="I10">
            <v>11407671.66059</v>
          </cell>
          <cell r="J10">
            <v>8967422.3841399997</v>
          </cell>
          <cell r="K10">
            <v>17540377.238899998</v>
          </cell>
          <cell r="L10">
            <v>14646046.72336</v>
          </cell>
          <cell r="M10">
            <v>7400406.9701300003</v>
          </cell>
          <cell r="N10">
            <v>18836733.115739997</v>
          </cell>
          <cell r="O10">
            <v>5999696.1764199995</v>
          </cell>
          <cell r="P10">
            <v>7908103.4778299993</v>
          </cell>
          <cell r="Q10">
            <v>8218154.6408299999</v>
          </cell>
          <cell r="R10">
            <v>10022312.961619999</v>
          </cell>
          <cell r="S10">
            <v>18460524.759489998</v>
          </cell>
          <cell r="T10">
            <v>2702775.56752</v>
          </cell>
          <cell r="U10">
            <v>4084929.9593400001</v>
          </cell>
          <cell r="V10">
            <v>10700115.825230001</v>
          </cell>
          <cell r="W10">
            <v>5749130.4234500006</v>
          </cell>
          <cell r="Z10">
            <v>205700827.51659</v>
          </cell>
          <cell r="AA10">
            <v>5838.259</v>
          </cell>
          <cell r="AB10">
            <v>0</v>
          </cell>
          <cell r="AC10">
            <v>28053.129999999994</v>
          </cell>
          <cell r="AD10">
            <v>74639.994000000006</v>
          </cell>
          <cell r="AH10">
            <v>108531.383</v>
          </cell>
          <cell r="AI10">
            <v>205809358.89958999</v>
          </cell>
          <cell r="AJ10">
            <v>6087712.3450500006</v>
          </cell>
          <cell r="AK10">
            <v>2542276.4516999996</v>
          </cell>
          <cell r="AL10">
            <v>3941036.0138099995</v>
          </cell>
          <cell r="AN10">
            <v>12571024.810559999</v>
          </cell>
          <cell r="AO10">
            <v>82384711.490999997</v>
          </cell>
          <cell r="AP10">
            <v>0</v>
          </cell>
          <cell r="AS10">
            <v>82384711.490999997</v>
          </cell>
          <cell r="AT10">
            <v>1545.8519999999999</v>
          </cell>
          <cell r="AU10">
            <v>2077.605</v>
          </cell>
          <cell r="AV10">
            <v>0</v>
          </cell>
          <cell r="BA10">
            <v>3623.4569999999999</v>
          </cell>
          <cell r="BB10">
            <v>0</v>
          </cell>
          <cell r="BC10">
            <v>0</v>
          </cell>
          <cell r="BD10">
            <v>-497233.32</v>
          </cell>
          <cell r="BE10">
            <v>0</v>
          </cell>
          <cell r="BF10">
            <v>112.94</v>
          </cell>
          <cell r="BG10">
            <v>302804.88</v>
          </cell>
          <cell r="BH10">
            <v>-42148.265999999996</v>
          </cell>
          <cell r="BJ10">
            <v>-236463.766</v>
          </cell>
        </row>
        <row r="11">
          <cell r="G11">
            <v>86571.013770236081</v>
          </cell>
          <cell r="H11">
            <v>92403.356479523398</v>
          </cell>
          <cell r="I11">
            <v>89926.149812306874</v>
          </cell>
          <cell r="J11">
            <v>90272.895630643296</v>
          </cell>
          <cell r="K11">
            <v>89812.939333534727</v>
          </cell>
          <cell r="L11">
            <v>85642.885180424884</v>
          </cell>
          <cell r="M11">
            <v>88296.648134895542</v>
          </cell>
          <cell r="N11">
            <v>88270.222685445289</v>
          </cell>
          <cell r="O11">
            <v>87817.56698507024</v>
          </cell>
          <cell r="P11">
            <v>86025.906184581225</v>
          </cell>
          <cell r="Q11">
            <v>83635.124878691655</v>
          </cell>
          <cell r="R11">
            <v>92005.645397520449</v>
          </cell>
          <cell r="S11">
            <v>88338.01374076448</v>
          </cell>
          <cell r="T11">
            <v>96593.244255744983</v>
          </cell>
          <cell r="U11">
            <v>85106.253580149176</v>
          </cell>
          <cell r="V11">
            <v>83563.318640119338</v>
          </cell>
          <cell r="W11">
            <v>106461.43519591868</v>
          </cell>
          <cell r="Z11">
            <v>88713.981811813574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88760.788872600417</v>
          </cell>
          <cell r="AJ11">
            <v>25536.777318889217</v>
          </cell>
          <cell r="AK11">
            <v>10757.67999466829</v>
          </cell>
          <cell r="AL11">
            <v>22479.101151095136</v>
          </cell>
          <cell r="AO11">
            <v>899892.78901809966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J11">
            <v>0</v>
          </cell>
        </row>
        <row r="12">
          <cell r="F12">
            <v>25934884.513849974</v>
          </cell>
          <cell r="G12">
            <v>3171240.9588699974</v>
          </cell>
          <cell r="H12">
            <v>1201965.6091300026</v>
          </cell>
          <cell r="I12">
            <v>343988.78240999952</v>
          </cell>
          <cell r="J12">
            <v>522599.60986000113</v>
          </cell>
          <cell r="K12">
            <v>3487567.7081000023</v>
          </cell>
          <cell r="L12">
            <v>2115033.5946399998</v>
          </cell>
          <cell r="M12">
            <v>161465.32987000048</v>
          </cell>
          <cell r="N12">
            <v>2416401.8342600018</v>
          </cell>
          <cell r="O12">
            <v>321357.67058000062</v>
          </cell>
          <cell r="P12">
            <v>853736.90217000153</v>
          </cell>
          <cell r="Q12">
            <v>490001.03017000016</v>
          </cell>
          <cell r="R12">
            <v>1350549.0063799992</v>
          </cell>
          <cell r="S12">
            <v>1662178.8975100033</v>
          </cell>
          <cell r="T12">
            <v>350178.53147999989</v>
          </cell>
          <cell r="U12">
            <v>1187379.4816599987</v>
          </cell>
          <cell r="V12">
            <v>1755011.7617699988</v>
          </cell>
          <cell r="W12">
            <v>910929.4575500004</v>
          </cell>
          <cell r="Z12">
            <v>22301586.166410007</v>
          </cell>
          <cell r="AA12">
            <v>119161.74099999999</v>
          </cell>
          <cell r="AB12">
            <v>0</v>
          </cell>
          <cell r="AC12">
            <v>96946.87000000001</v>
          </cell>
          <cell r="AD12">
            <v>226260.00599999999</v>
          </cell>
          <cell r="AH12">
            <v>442368.61699999997</v>
          </cell>
          <cell r="AI12">
            <v>22743954.783410043</v>
          </cell>
          <cell r="AJ12">
            <v>691926.05494999979</v>
          </cell>
          <cell r="AK12">
            <v>649369.54830000037</v>
          </cell>
          <cell r="AL12">
            <v>-574125.61380999954</v>
          </cell>
          <cell r="AN12">
            <v>767169.98944000155</v>
          </cell>
          <cell r="AO12">
            <v>1436655.0129999816</v>
          </cell>
          <cell r="AP12">
            <v>0</v>
          </cell>
          <cell r="AS12">
            <v>1436655.0129999816</v>
          </cell>
          <cell r="AT12">
            <v>55232.747999999992</v>
          </cell>
          <cell r="AU12">
            <v>56602.394999999997</v>
          </cell>
          <cell r="AV12">
            <v>621971.36900000006</v>
          </cell>
          <cell r="BA12">
            <v>733806.5120000001</v>
          </cell>
          <cell r="BB12">
            <v>0</v>
          </cell>
          <cell r="BC12">
            <v>16834.449999999997</v>
          </cell>
          <cell r="BD12">
            <v>497233.32</v>
          </cell>
          <cell r="BE12">
            <v>0</v>
          </cell>
          <cell r="BF12">
            <v>-112.94</v>
          </cell>
          <cell r="BG12">
            <v>-302804.88</v>
          </cell>
          <cell r="BH12">
            <v>42148.265999999996</v>
          </cell>
          <cell r="BJ12">
            <v>253298.21600000001</v>
          </cell>
        </row>
        <row r="13">
          <cell r="F13">
            <v>8624744.7239999995</v>
          </cell>
          <cell r="G13">
            <v>694426.26399999997</v>
          </cell>
          <cell r="H13">
            <v>705137.20699999994</v>
          </cell>
          <cell r="I13">
            <v>546804.72799999989</v>
          </cell>
          <cell r="J13">
            <v>386399.55099999998</v>
          </cell>
          <cell r="K13">
            <v>559572.02099999995</v>
          </cell>
          <cell r="L13">
            <v>558608.96799999999</v>
          </cell>
          <cell r="M13">
            <v>358003.03399999999</v>
          </cell>
          <cell r="N13">
            <v>474185.26399999997</v>
          </cell>
          <cell r="O13">
            <v>308559.054</v>
          </cell>
          <cell r="P13">
            <v>300792.55200000003</v>
          </cell>
          <cell r="Q13">
            <v>311750.48199999996</v>
          </cell>
          <cell r="R13">
            <v>284761.451</v>
          </cell>
          <cell r="S13">
            <v>493849.28</v>
          </cell>
          <cell r="T13">
            <v>121032.909</v>
          </cell>
          <cell r="U13">
            <v>128877.4</v>
          </cell>
          <cell r="V13">
            <v>317865.35700000002</v>
          </cell>
          <cell r="W13">
            <v>161959.72500000001</v>
          </cell>
          <cell r="Z13">
            <v>6712585.2469999995</v>
          </cell>
          <cell r="AA13">
            <v>50819.296999999999</v>
          </cell>
          <cell r="AB13">
            <v>2427.8049999999998</v>
          </cell>
          <cell r="AC13">
            <v>0</v>
          </cell>
          <cell r="AD13">
            <v>0</v>
          </cell>
          <cell r="AH13">
            <v>53247.101999999999</v>
          </cell>
          <cell r="AI13">
            <v>6765832.3489999995</v>
          </cell>
          <cell r="AJ13">
            <v>0</v>
          </cell>
          <cell r="AK13">
            <v>0</v>
          </cell>
          <cell r="AL13">
            <v>0</v>
          </cell>
          <cell r="AN13">
            <v>0</v>
          </cell>
          <cell r="AO13">
            <v>1462653.5960000001</v>
          </cell>
          <cell r="AP13">
            <v>0</v>
          </cell>
          <cell r="AS13">
            <v>1462653.5960000001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157871.87899999996</v>
          </cell>
          <cell r="BG13">
            <v>238386.9</v>
          </cell>
          <cell r="BH13">
            <v>0</v>
          </cell>
          <cell r="BJ13">
            <v>396258.77899999998</v>
          </cell>
        </row>
        <row r="14">
          <cell r="F14">
            <v>5796157.3059999999</v>
          </cell>
          <cell r="G14">
            <v>466691.47799999994</v>
          </cell>
          <cell r="H14">
            <v>475978.69</v>
          </cell>
          <cell r="I14">
            <v>365748.02499999997</v>
          </cell>
          <cell r="J14">
            <v>276717.723</v>
          </cell>
          <cell r="K14">
            <v>376721.42099999997</v>
          </cell>
          <cell r="L14">
            <v>382761.74099999998</v>
          </cell>
          <cell r="M14">
            <v>251498.43099999995</v>
          </cell>
          <cell r="N14">
            <v>322974.61599999998</v>
          </cell>
          <cell r="O14">
            <v>207417.49400000001</v>
          </cell>
          <cell r="P14">
            <v>209336.72500000003</v>
          </cell>
          <cell r="Q14">
            <v>217607.14999999997</v>
          </cell>
          <cell r="R14">
            <v>200080.58300000001</v>
          </cell>
          <cell r="S14">
            <v>346412.89399999997</v>
          </cell>
          <cell r="T14">
            <v>76053.837</v>
          </cell>
          <cell r="U14">
            <v>85519.934999999983</v>
          </cell>
          <cell r="V14">
            <v>228296.40900000001</v>
          </cell>
          <cell r="W14">
            <v>111050.60400000001</v>
          </cell>
          <cell r="Z14">
            <v>4600867.7559999991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4600867.7559999991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956902.65</v>
          </cell>
          <cell r="AP14">
            <v>0</v>
          </cell>
          <cell r="AS14">
            <v>956902.65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238386.9</v>
          </cell>
          <cell r="BH14">
            <v>0</v>
          </cell>
          <cell r="BJ14">
            <v>238386.9</v>
          </cell>
        </row>
        <row r="15">
          <cell r="F15">
            <v>2828587.4179999996</v>
          </cell>
          <cell r="G15">
            <v>227734.78599999996</v>
          </cell>
          <cell r="H15">
            <v>229158.51699999999</v>
          </cell>
          <cell r="I15">
            <v>181056.70299999998</v>
          </cell>
          <cell r="J15">
            <v>109681.82799999999</v>
          </cell>
          <cell r="K15">
            <v>182850.6</v>
          </cell>
          <cell r="L15">
            <v>175847.22700000001</v>
          </cell>
          <cell r="M15">
            <v>106504.60300000002</v>
          </cell>
          <cell r="N15">
            <v>151210.64799999999</v>
          </cell>
          <cell r="O15">
            <v>101141.56</v>
          </cell>
          <cell r="P15">
            <v>91455.827000000005</v>
          </cell>
          <cell r="Q15">
            <v>94143.331999999995</v>
          </cell>
          <cell r="R15">
            <v>84680.868000000002</v>
          </cell>
          <cell r="S15">
            <v>147436.38600000003</v>
          </cell>
          <cell r="T15">
            <v>44979.072</v>
          </cell>
          <cell r="U15">
            <v>43357.465000000004</v>
          </cell>
          <cell r="V15">
            <v>89568.948000000004</v>
          </cell>
          <cell r="W15">
            <v>50909.121000000006</v>
          </cell>
          <cell r="Z15">
            <v>2111717.4909999999</v>
          </cell>
          <cell r="AA15">
            <v>50819.296999999999</v>
          </cell>
          <cell r="AB15">
            <v>2427.8049999999998</v>
          </cell>
          <cell r="AC15">
            <v>0</v>
          </cell>
          <cell r="AD15">
            <v>0</v>
          </cell>
          <cell r="AH15">
            <v>53247.101999999999</v>
          </cell>
          <cell r="AI15">
            <v>2164964.5929999999</v>
          </cell>
          <cell r="AJ15">
            <v>0</v>
          </cell>
          <cell r="AK15">
            <v>0</v>
          </cell>
          <cell r="AL15">
            <v>0</v>
          </cell>
          <cell r="AN15">
            <v>0</v>
          </cell>
          <cell r="AO15">
            <v>505750.94600000005</v>
          </cell>
          <cell r="AP15">
            <v>0</v>
          </cell>
          <cell r="AS15">
            <v>505750.94600000005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157871.87899999996</v>
          </cell>
          <cell r="BG15">
            <v>0</v>
          </cell>
          <cell r="BH15">
            <v>0</v>
          </cell>
          <cell r="BJ15">
            <v>157871.87899999996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J16">
            <v>0</v>
          </cell>
        </row>
        <row r="17">
          <cell r="F17">
            <v>17310139.789849974</v>
          </cell>
          <cell r="G17">
            <v>2476814.6948699974</v>
          </cell>
          <cell r="H17">
            <v>496828.40213000262</v>
          </cell>
          <cell r="I17">
            <v>-202815.94559000037</v>
          </cell>
          <cell r="J17">
            <v>136200.05886000115</v>
          </cell>
          <cell r="K17">
            <v>2927995.6871000025</v>
          </cell>
          <cell r="L17">
            <v>1556424.6266399999</v>
          </cell>
          <cell r="M17">
            <v>-196537.7041299995</v>
          </cell>
          <cell r="N17">
            <v>1942216.5702600018</v>
          </cell>
          <cell r="O17">
            <v>12798.616580000613</v>
          </cell>
          <cell r="P17">
            <v>552944.3501700015</v>
          </cell>
          <cell r="Q17">
            <v>178250.5481700002</v>
          </cell>
          <cell r="R17">
            <v>1065787.5553799993</v>
          </cell>
          <cell r="S17">
            <v>1168329.6175100033</v>
          </cell>
          <cell r="T17">
            <v>229145.6224799999</v>
          </cell>
          <cell r="U17">
            <v>1058502.0816599987</v>
          </cell>
          <cell r="V17">
            <v>1437146.4047699987</v>
          </cell>
          <cell r="W17">
            <v>748969.73255000042</v>
          </cell>
          <cell r="Z17">
            <v>15589000.919410007</v>
          </cell>
          <cell r="AA17">
            <v>68342.443999999989</v>
          </cell>
          <cell r="AB17">
            <v>-2427.8049999999998</v>
          </cell>
          <cell r="AC17">
            <v>96946.87000000001</v>
          </cell>
          <cell r="AD17">
            <v>226260.00599999999</v>
          </cell>
          <cell r="AH17">
            <v>389121.51499999996</v>
          </cell>
          <cell r="AI17">
            <v>15978122.434410043</v>
          </cell>
          <cell r="AJ17">
            <v>691926.05494999979</v>
          </cell>
          <cell r="AK17">
            <v>649369.54830000037</v>
          </cell>
          <cell r="AL17">
            <v>-574125.61380999954</v>
          </cell>
          <cell r="AN17">
            <v>767169.98944000155</v>
          </cell>
          <cell r="AO17">
            <v>-25998.583000018494</v>
          </cell>
          <cell r="AP17">
            <v>0</v>
          </cell>
          <cell r="AS17">
            <v>-25998.583000018494</v>
          </cell>
          <cell r="AT17">
            <v>55232.747999999992</v>
          </cell>
          <cell r="AU17">
            <v>56602.394999999997</v>
          </cell>
          <cell r="AV17">
            <v>621971.36900000006</v>
          </cell>
          <cell r="BA17">
            <v>733806.5120000001</v>
          </cell>
          <cell r="BB17">
            <v>0</v>
          </cell>
          <cell r="BC17">
            <v>16834.449999999997</v>
          </cell>
          <cell r="BD17">
            <v>497233.32</v>
          </cell>
          <cell r="BE17">
            <v>0</v>
          </cell>
          <cell r="BF17">
            <v>-157984.81899999996</v>
          </cell>
          <cell r="BG17">
            <v>-541191.78</v>
          </cell>
          <cell r="BH17">
            <v>42148.265999999996</v>
          </cell>
          <cell r="BJ17">
            <v>-142960.56299999997</v>
          </cell>
        </row>
        <row r="18">
          <cell r="F18">
            <v>5966465.7817899995</v>
          </cell>
          <cell r="G18">
            <v>299922.07386999996</v>
          </cell>
          <cell r="H18">
            <v>352684.14311</v>
          </cell>
          <cell r="I18">
            <v>202706.16641000001</v>
          </cell>
          <cell r="J18">
            <v>180758.25186000002</v>
          </cell>
          <cell r="K18">
            <v>1038620.0281</v>
          </cell>
          <cell r="L18">
            <v>365757.30564000004</v>
          </cell>
          <cell r="M18">
            <v>150585.37487</v>
          </cell>
          <cell r="N18">
            <v>234536.06926000002</v>
          </cell>
          <cell r="O18">
            <v>122375.40957999999</v>
          </cell>
          <cell r="P18">
            <v>316374.47517000005</v>
          </cell>
          <cell r="Q18">
            <v>154108.21917000003</v>
          </cell>
          <cell r="R18">
            <v>149621.91638000001</v>
          </cell>
          <cell r="S18">
            <v>323923.88551000005</v>
          </cell>
          <cell r="T18">
            <v>60879.334479999998</v>
          </cell>
          <cell r="U18">
            <v>106113.52065999999</v>
          </cell>
          <cell r="V18">
            <v>211311.47377000001</v>
          </cell>
          <cell r="W18">
            <v>126390.53055</v>
          </cell>
          <cell r="Z18">
            <v>4396668.17839</v>
          </cell>
          <cell r="AA18">
            <v>55902.693999999996</v>
          </cell>
          <cell r="AB18">
            <v>0</v>
          </cell>
          <cell r="AC18">
            <v>9444.27</v>
          </cell>
          <cell r="AD18">
            <v>22058.807999999997</v>
          </cell>
          <cell r="AH18">
            <v>87405.771999999997</v>
          </cell>
          <cell r="AI18">
            <v>4484073.9503899999</v>
          </cell>
          <cell r="AJ18">
            <v>351669.75993999996</v>
          </cell>
          <cell r="AK18">
            <v>192942.28926999998</v>
          </cell>
          <cell r="AL18">
            <v>565575.86919</v>
          </cell>
          <cell r="AN18">
            <v>1110187.9183999998</v>
          </cell>
          <cell r="AO18">
            <v>50751.550999999999</v>
          </cell>
          <cell r="AP18">
            <v>0</v>
          </cell>
          <cell r="AS18">
            <v>50751.550999999999</v>
          </cell>
          <cell r="AT18">
            <v>13128.92</v>
          </cell>
          <cell r="AU18">
            <v>44151.741999999998</v>
          </cell>
          <cell r="AV18">
            <v>0</v>
          </cell>
          <cell r="BA18">
            <v>57280.661999999997</v>
          </cell>
          <cell r="BB18">
            <v>0</v>
          </cell>
          <cell r="BC18">
            <v>138647.538</v>
          </cell>
          <cell r="BD18">
            <v>0</v>
          </cell>
          <cell r="BE18">
            <v>0</v>
          </cell>
          <cell r="BF18">
            <v>125524.162</v>
          </cell>
          <cell r="BG18">
            <v>0</v>
          </cell>
          <cell r="BH18">
            <v>0</v>
          </cell>
          <cell r="BJ18">
            <v>264171.7</v>
          </cell>
        </row>
        <row r="19">
          <cell r="F19">
            <v>5422638.9397899993</v>
          </cell>
          <cell r="G19">
            <v>280248.45286999998</v>
          </cell>
          <cell r="H19">
            <v>334170.07111000002</v>
          </cell>
          <cell r="I19">
            <v>186625.52741000001</v>
          </cell>
          <cell r="J19">
            <v>170022.04886000001</v>
          </cell>
          <cell r="K19">
            <v>1021475.4451</v>
          </cell>
          <cell r="L19">
            <v>351729.36264000001</v>
          </cell>
          <cell r="M19">
            <v>140203.46187</v>
          </cell>
          <cell r="N19">
            <v>218605.10226000001</v>
          </cell>
          <cell r="O19">
            <v>117097.45557999999</v>
          </cell>
          <cell r="P19">
            <v>306914.08617000002</v>
          </cell>
          <cell r="Q19">
            <v>146683.48917000002</v>
          </cell>
          <cell r="R19">
            <v>140517.14838</v>
          </cell>
          <cell r="S19">
            <v>309741.15851000004</v>
          </cell>
          <cell r="T19">
            <v>57545.73848</v>
          </cell>
          <cell r="U19">
            <v>102127.69966</v>
          </cell>
          <cell r="V19">
            <v>203931.16077000002</v>
          </cell>
          <cell r="W19">
            <v>119022.70454999999</v>
          </cell>
          <cell r="Z19">
            <v>4206660.1133899996</v>
          </cell>
          <cell r="AA19">
            <v>17007.167999999998</v>
          </cell>
          <cell r="AB19">
            <v>0</v>
          </cell>
          <cell r="AC19">
            <v>9444.27</v>
          </cell>
          <cell r="AD19">
            <v>22058.807999999997</v>
          </cell>
          <cell r="AH19">
            <v>48510.245999999999</v>
          </cell>
          <cell r="AI19">
            <v>4255170.3593899999</v>
          </cell>
          <cell r="AJ19">
            <v>351669.75993999996</v>
          </cell>
          <cell r="AK19">
            <v>192942.28926999998</v>
          </cell>
          <cell r="AL19">
            <v>565575.86919</v>
          </cell>
          <cell r="AN19">
            <v>1110187.9183999998</v>
          </cell>
          <cell r="AO19">
            <v>0</v>
          </cell>
          <cell r="AP19">
            <v>0</v>
          </cell>
          <cell r="AS19">
            <v>0</v>
          </cell>
          <cell r="AT19">
            <v>13128.92</v>
          </cell>
          <cell r="AU19">
            <v>44151.741999999998</v>
          </cell>
          <cell r="AV19">
            <v>0</v>
          </cell>
          <cell r="BA19">
            <v>57280.661999999997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J19">
            <v>0</v>
          </cell>
        </row>
        <row r="20">
          <cell r="F20">
            <v>543826.84199999995</v>
          </cell>
          <cell r="G20">
            <v>19673.620999999999</v>
          </cell>
          <cell r="H20">
            <v>18514.072000000004</v>
          </cell>
          <cell r="I20">
            <v>16080.638999999999</v>
          </cell>
          <cell r="J20">
            <v>10736.203</v>
          </cell>
          <cell r="K20">
            <v>17144.582999999999</v>
          </cell>
          <cell r="L20">
            <v>14027.942999999999</v>
          </cell>
          <cell r="M20">
            <v>10381.913</v>
          </cell>
          <cell r="N20">
            <v>15930.966999999999</v>
          </cell>
          <cell r="O20">
            <v>5277.9540000000006</v>
          </cell>
          <cell r="P20">
            <v>9460.3889999999992</v>
          </cell>
          <cell r="Q20">
            <v>7424.73</v>
          </cell>
          <cell r="R20">
            <v>9104.768</v>
          </cell>
          <cell r="S20">
            <v>14182.726999999999</v>
          </cell>
          <cell r="T20">
            <v>3333.596</v>
          </cell>
          <cell r="U20">
            <v>3985.8210000000008</v>
          </cell>
          <cell r="V20">
            <v>7380.3130000000001</v>
          </cell>
          <cell r="W20">
            <v>7367.8260000000009</v>
          </cell>
          <cell r="Z20">
            <v>190008.065</v>
          </cell>
          <cell r="AA20">
            <v>38895.525999999998</v>
          </cell>
          <cell r="AB20">
            <v>0</v>
          </cell>
          <cell r="AC20">
            <v>0</v>
          </cell>
          <cell r="AD20">
            <v>0</v>
          </cell>
          <cell r="AH20">
            <v>38895.525999999998</v>
          </cell>
          <cell r="AI20">
            <v>228903.59100000001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50751.550999999999</v>
          </cell>
          <cell r="AP20">
            <v>0</v>
          </cell>
          <cell r="AS20">
            <v>50751.550999999999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138647.538</v>
          </cell>
          <cell r="BD20">
            <v>0</v>
          </cell>
          <cell r="BE20">
            <v>0</v>
          </cell>
          <cell r="BF20">
            <v>125524.162</v>
          </cell>
          <cell r="BG20">
            <v>0</v>
          </cell>
          <cell r="BH20">
            <v>0</v>
          </cell>
          <cell r="BJ20">
            <v>264171.7</v>
          </cell>
        </row>
        <row r="21">
          <cell r="F21">
            <v>11343674.008059975</v>
          </cell>
          <cell r="G21">
            <v>2176892.6209999975</v>
          </cell>
          <cell r="H21">
            <v>144144.25902000262</v>
          </cell>
          <cell r="I21">
            <v>-405522.11200000037</v>
          </cell>
          <cell r="J21">
            <v>-44558.192999998864</v>
          </cell>
          <cell r="K21">
            <v>1889375.6590000025</v>
          </cell>
          <cell r="L21">
            <v>1190667.321</v>
          </cell>
          <cell r="M21">
            <v>-347123.0789999995</v>
          </cell>
          <cell r="N21">
            <v>1707680.5010000018</v>
          </cell>
          <cell r="O21">
            <v>-109576.79299999938</v>
          </cell>
          <cell r="P21">
            <v>236569.87500000146</v>
          </cell>
          <cell r="Q21">
            <v>24142.329000000173</v>
          </cell>
          <cell r="R21">
            <v>916165.63899999927</v>
          </cell>
          <cell r="S21">
            <v>844405.73200000322</v>
          </cell>
          <cell r="T21">
            <v>168266.28799999991</v>
          </cell>
          <cell r="U21">
            <v>952388.56099999871</v>
          </cell>
          <cell r="V21">
            <v>1225834.9309999987</v>
          </cell>
          <cell r="W21">
            <v>622579.2020000004</v>
          </cell>
          <cell r="Z21">
            <v>11192332.741020007</v>
          </cell>
          <cell r="AA21">
            <v>12439.749999999993</v>
          </cell>
          <cell r="AB21">
            <v>-2427.8049999999998</v>
          </cell>
          <cell r="AC21">
            <v>87502.6</v>
          </cell>
          <cell r="AD21">
            <v>204201.198</v>
          </cell>
          <cell r="AH21">
            <v>301715.74299999996</v>
          </cell>
          <cell r="AI21">
            <v>11494048.484020043</v>
          </cell>
          <cell r="AJ21">
            <v>340256.29500999983</v>
          </cell>
          <cell r="AK21">
            <v>456427.25903000042</v>
          </cell>
          <cell r="AL21">
            <v>-1139701.4829999995</v>
          </cell>
          <cell r="AN21">
            <v>-343017.9289599983</v>
          </cell>
          <cell r="AO21">
            <v>-76750.134000018501</v>
          </cell>
          <cell r="AP21">
            <v>0</v>
          </cell>
          <cell r="AS21">
            <v>-76750.134000018501</v>
          </cell>
          <cell r="AT21">
            <v>42103.827999999994</v>
          </cell>
          <cell r="AU21">
            <v>12450.652999999998</v>
          </cell>
          <cell r="AV21">
            <v>621971.36900000006</v>
          </cell>
          <cell r="BA21">
            <v>676525.85000000009</v>
          </cell>
          <cell r="BB21">
            <v>0</v>
          </cell>
          <cell r="BC21">
            <v>-121813.088</v>
          </cell>
          <cell r="BD21">
            <v>497233.32</v>
          </cell>
          <cell r="BE21">
            <v>0</v>
          </cell>
          <cell r="BF21">
            <v>-283508.98099999997</v>
          </cell>
          <cell r="BG21">
            <v>-541191.78</v>
          </cell>
          <cell r="BH21">
            <v>42148.265999999996</v>
          </cell>
          <cell r="BJ21">
            <v>-407132.26299999998</v>
          </cell>
        </row>
        <row r="22">
          <cell r="F22">
            <v>17491387.747003712</v>
          </cell>
          <cell r="G22">
            <v>2073104.9812352296</v>
          </cell>
          <cell r="H22">
            <v>1746738.8216758803</v>
          </cell>
          <cell r="I22">
            <v>798807.58817248209</v>
          </cell>
          <cell r="J22">
            <v>634989.09769658116</v>
          </cell>
          <cell r="K22">
            <v>1479445.1424567671</v>
          </cell>
          <cell r="L22">
            <v>1153739.9308090713</v>
          </cell>
          <cell r="M22">
            <v>536949.6058850307</v>
          </cell>
          <cell r="N22">
            <v>1506859.8453336973</v>
          </cell>
          <cell r="O22">
            <v>448248.65434457373</v>
          </cell>
          <cell r="P22">
            <v>613843.43228871119</v>
          </cell>
          <cell r="Q22">
            <v>612465.19044452987</v>
          </cell>
          <cell r="R22">
            <v>777665.05094891367</v>
          </cell>
          <cell r="S22">
            <v>1341994.4819902992</v>
          </cell>
          <cell r="T22">
            <v>210667.9629993643</v>
          </cell>
          <cell r="U22">
            <v>348367.49455846392</v>
          </cell>
          <cell r="V22">
            <v>817728.04141909583</v>
          </cell>
          <cell r="W22">
            <v>445105.8281851522</v>
          </cell>
          <cell r="Z22">
            <v>15546721.150443844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15546721.150443844</v>
          </cell>
          <cell r="AJ22">
            <v>245889.18920019284</v>
          </cell>
          <cell r="AK22">
            <v>113491.08878967477</v>
          </cell>
          <cell r="AL22">
            <v>124134.83765999999</v>
          </cell>
          <cell r="AN22">
            <v>483515.11564986757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1243000.0719999999</v>
          </cell>
          <cell r="BF22">
            <v>0</v>
          </cell>
          <cell r="BG22">
            <v>218151.40891</v>
          </cell>
          <cell r="BH22">
            <v>0</v>
          </cell>
          <cell r="BJ22">
            <v>1461151.4809099999</v>
          </cell>
        </row>
        <row r="23">
          <cell r="F23">
            <v>2026904.8750037113</v>
          </cell>
          <cell r="G23">
            <v>163117.43730006853</v>
          </cell>
          <cell r="H23">
            <v>133799.58652402196</v>
          </cell>
          <cell r="I23">
            <v>59596.910224253821</v>
          </cell>
          <cell r="J23">
            <v>47622.041448926342</v>
          </cell>
          <cell r="K23">
            <v>181868.78045030448</v>
          </cell>
          <cell r="L23">
            <v>146878.37016967271</v>
          </cell>
          <cell r="M23">
            <v>64797.077331036191</v>
          </cell>
          <cell r="N23">
            <v>185176.92842547011</v>
          </cell>
          <cell r="O23">
            <v>55360.555219070993</v>
          </cell>
          <cell r="P23">
            <v>78356.677746068861</v>
          </cell>
          <cell r="Q23">
            <v>77472.191489660385</v>
          </cell>
          <cell r="R23">
            <v>100348.06688623944</v>
          </cell>
          <cell r="S23">
            <v>104904.37885663501</v>
          </cell>
          <cell r="T23">
            <v>15668.020515908049</v>
          </cell>
          <cell r="U23">
            <v>26576.953646512182</v>
          </cell>
          <cell r="V23">
            <v>66217.904232926143</v>
          </cell>
          <cell r="W23">
            <v>35627.878887068524</v>
          </cell>
          <cell r="Z23">
            <v>1543389.7593538438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1543389.7593538438</v>
          </cell>
          <cell r="AJ23">
            <v>245889.18920019284</v>
          </cell>
          <cell r="AK23">
            <v>113491.08878967477</v>
          </cell>
          <cell r="AL23">
            <v>124134.83765999999</v>
          </cell>
          <cell r="AN23">
            <v>483515.11564986757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J23">
            <v>0</v>
          </cell>
        </row>
        <row r="24">
          <cell r="F24">
            <v>5581827.7790000001</v>
          </cell>
          <cell r="G24">
            <v>763671.53877321538</v>
          </cell>
          <cell r="H24">
            <v>645175.02668689773</v>
          </cell>
          <cell r="I24">
            <v>301668.96531676478</v>
          </cell>
          <cell r="J24">
            <v>237239.92807164686</v>
          </cell>
          <cell r="K24">
            <v>523494.48003434442</v>
          </cell>
          <cell r="L24">
            <v>387339.55003428564</v>
          </cell>
          <cell r="M24">
            <v>193839.42110567392</v>
          </cell>
          <cell r="N24">
            <v>531852.26336844231</v>
          </cell>
          <cell r="O24">
            <v>163734.21325195124</v>
          </cell>
          <cell r="P24">
            <v>211057.75095803489</v>
          </cell>
          <cell r="Q24">
            <v>210542.49266199712</v>
          </cell>
          <cell r="R24">
            <v>257469.675307325</v>
          </cell>
          <cell r="S24">
            <v>492925.89455415623</v>
          </cell>
          <cell r="T24">
            <v>80190.095025092931</v>
          </cell>
          <cell r="U24">
            <v>127958.38567696293</v>
          </cell>
          <cell r="V24">
            <v>293223.08243241289</v>
          </cell>
          <cell r="W24">
            <v>160445.01574079573</v>
          </cell>
          <cell r="Z24">
            <v>5581827.7790000001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5581827.7790000001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J24">
            <v>0</v>
          </cell>
        </row>
        <row r="25">
          <cell r="F25">
            <v>9882655.0930000003</v>
          </cell>
          <cell r="G25">
            <v>1146316.0051619457</v>
          </cell>
          <cell r="H25">
            <v>967764.20846496068</v>
          </cell>
          <cell r="I25">
            <v>437541.71263146354</v>
          </cell>
          <cell r="J25">
            <v>350127.128176008</v>
          </cell>
          <cell r="K25">
            <v>774081.8819721184</v>
          </cell>
          <cell r="L25">
            <v>619522.010605113</v>
          </cell>
          <cell r="M25">
            <v>278313.1074483206</v>
          </cell>
          <cell r="N25">
            <v>789830.65353978483</v>
          </cell>
          <cell r="O25">
            <v>229153.88587355151</v>
          </cell>
          <cell r="P25">
            <v>324429.00358460745</v>
          </cell>
          <cell r="Q25">
            <v>324450.50629287236</v>
          </cell>
          <cell r="R25">
            <v>419847.30875534919</v>
          </cell>
          <cell r="S25">
            <v>744164.20857950789</v>
          </cell>
          <cell r="T25">
            <v>114809.84745836331</v>
          </cell>
          <cell r="U25">
            <v>193832.15523498884</v>
          </cell>
          <cell r="V25">
            <v>458287.05475375673</v>
          </cell>
          <cell r="W25">
            <v>249032.93355728796</v>
          </cell>
          <cell r="Z25">
            <v>8421503.6120900009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8421503.6120900009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1243000.0719999999</v>
          </cell>
          <cell r="BF25">
            <v>0</v>
          </cell>
          <cell r="BG25">
            <v>218151.40891</v>
          </cell>
          <cell r="BH25">
            <v>0</v>
          </cell>
          <cell r="BJ25">
            <v>1461151.4809099999</v>
          </cell>
        </row>
        <row r="26">
          <cell r="F26">
            <v>-6147713.738943737</v>
          </cell>
          <cell r="G26">
            <v>103787.63976476784</v>
          </cell>
          <cell r="H26">
            <v>-1602594.5626558778</v>
          </cell>
          <cell r="I26">
            <v>-1204329.7001724825</v>
          </cell>
          <cell r="J26">
            <v>-679547.29069657996</v>
          </cell>
          <cell r="K26">
            <v>409930.5165432354</v>
          </cell>
          <cell r="L26">
            <v>36927.390190928709</v>
          </cell>
          <cell r="M26">
            <v>-884072.68488503015</v>
          </cell>
          <cell r="N26">
            <v>200820.65566630452</v>
          </cell>
          <cell r="O26">
            <v>-557825.4473445731</v>
          </cell>
          <cell r="P26">
            <v>-377273.55728870974</v>
          </cell>
          <cell r="Q26">
            <v>-588322.86144452973</v>
          </cell>
          <cell r="R26">
            <v>138500.58805108559</v>
          </cell>
          <cell r="S26">
            <v>-497588.74999029597</v>
          </cell>
          <cell r="T26">
            <v>-42401.67499936439</v>
          </cell>
          <cell r="U26">
            <v>604021.06644153479</v>
          </cell>
          <cell r="V26">
            <v>408106.88958090288</v>
          </cell>
          <cell r="W26">
            <v>177473.37381484819</v>
          </cell>
          <cell r="Z26">
            <v>-4354388.4094238374</v>
          </cell>
          <cell r="AA26">
            <v>12439.749999999993</v>
          </cell>
          <cell r="AB26">
            <v>-2427.8049999999998</v>
          </cell>
          <cell r="AC26">
            <v>87502.6</v>
          </cell>
          <cell r="AD26">
            <v>204201.198</v>
          </cell>
          <cell r="AH26">
            <v>301715.74299999996</v>
          </cell>
          <cell r="AI26">
            <v>-4052672.6664238013</v>
          </cell>
          <cell r="AJ26">
            <v>94367.105809806992</v>
          </cell>
          <cell r="AK26">
            <v>342936.17024032562</v>
          </cell>
          <cell r="AL26">
            <v>-1263836.3206599995</v>
          </cell>
          <cell r="AN26">
            <v>-826533.04460986587</v>
          </cell>
          <cell r="AO26">
            <v>-76750.134000018501</v>
          </cell>
          <cell r="AP26">
            <v>0</v>
          </cell>
          <cell r="AS26">
            <v>-76750.134000018501</v>
          </cell>
          <cell r="AT26">
            <v>42103.827999999994</v>
          </cell>
          <cell r="AU26">
            <v>12450.652999999998</v>
          </cell>
          <cell r="AV26">
            <v>621971.36900000006</v>
          </cell>
          <cell r="BA26">
            <v>676525.85000000009</v>
          </cell>
          <cell r="BB26">
            <v>0</v>
          </cell>
          <cell r="BC26">
            <v>-121813.088</v>
          </cell>
          <cell r="BD26">
            <v>497233.32</v>
          </cell>
          <cell r="BE26">
            <v>-1243000.0719999999</v>
          </cell>
          <cell r="BF26">
            <v>-283508.98099999997</v>
          </cell>
          <cell r="BG26">
            <v>-759343.18891000003</v>
          </cell>
          <cell r="BH26">
            <v>42148.265999999996</v>
          </cell>
          <cell r="BJ26">
            <v>-1868283.74391</v>
          </cell>
        </row>
        <row r="27">
          <cell r="F27">
            <v>-6147713.7389437081</v>
          </cell>
          <cell r="G27">
            <v>103787.63976477239</v>
          </cell>
          <cell r="H27">
            <v>-1602594.5626558803</v>
          </cell>
          <cell r="I27">
            <v>-1204329.7001724821</v>
          </cell>
          <cell r="J27">
            <v>-679547.29069658136</v>
          </cell>
          <cell r="K27">
            <v>409930.51654323278</v>
          </cell>
          <cell r="L27">
            <v>36927.390190928134</v>
          </cell>
          <cell r="M27">
            <v>-884072.68488503061</v>
          </cell>
          <cell r="N27">
            <v>200820.65566630347</v>
          </cell>
          <cell r="O27">
            <v>-557825.4473445738</v>
          </cell>
          <cell r="P27">
            <v>-377273.55728871131</v>
          </cell>
          <cell r="Q27">
            <v>-588322.86144452996</v>
          </cell>
          <cell r="R27">
            <v>138500.58805108664</v>
          </cell>
          <cell r="S27">
            <v>-497588.74999029917</v>
          </cell>
          <cell r="T27">
            <v>-42401.674999364332</v>
          </cell>
          <cell r="U27">
            <v>604021.06644153618</v>
          </cell>
          <cell r="V27">
            <v>408106.88958090381</v>
          </cell>
          <cell r="W27">
            <v>177473.37381484779</v>
          </cell>
          <cell r="Z27">
            <v>-4354388.409423843</v>
          </cell>
          <cell r="AA27">
            <v>12439.750000000005</v>
          </cell>
          <cell r="AB27">
            <v>-2427.8049999999998</v>
          </cell>
          <cell r="AC27">
            <v>87502.60000000002</v>
          </cell>
          <cell r="AD27">
            <v>204201.198</v>
          </cell>
          <cell r="AH27">
            <v>301715.74300000002</v>
          </cell>
          <cell r="AI27">
            <v>-4052672.6664238432</v>
          </cell>
          <cell r="AJ27">
            <v>94367.105809807064</v>
          </cell>
          <cell r="AK27">
            <v>342936.17024032533</v>
          </cell>
          <cell r="AL27">
            <v>-1263836.32066</v>
          </cell>
          <cell r="AN27">
            <v>-826533.0446098675</v>
          </cell>
          <cell r="AO27">
            <v>-76750.133999999729</v>
          </cell>
          <cell r="AP27">
            <v>0</v>
          </cell>
          <cell r="AS27">
            <v>-76750.133999999729</v>
          </cell>
          <cell r="AT27">
            <v>42103.828000000001</v>
          </cell>
          <cell r="AU27">
            <v>12450.652999999997</v>
          </cell>
          <cell r="AV27">
            <v>621971.36900000006</v>
          </cell>
          <cell r="BA27">
            <v>676525.85000000009</v>
          </cell>
          <cell r="BB27">
            <v>0</v>
          </cell>
          <cell r="BC27">
            <v>-121813.088</v>
          </cell>
          <cell r="BD27">
            <v>497233.32</v>
          </cell>
          <cell r="BE27">
            <v>-1243000.0719999999</v>
          </cell>
          <cell r="BF27">
            <v>-283508.98100000003</v>
          </cell>
          <cell r="BG27">
            <v>-759343.18891000003</v>
          </cell>
          <cell r="BH27">
            <v>42148.265999999996</v>
          </cell>
          <cell r="BJ27">
            <v>-1868283.74391</v>
          </cell>
        </row>
        <row r="28">
          <cell r="F28">
            <v>-2.8870999813079834E-8</v>
          </cell>
          <cell r="G28">
            <v>-4.5547494664788246E-9</v>
          </cell>
          <cell r="H28">
            <v>2.5611370801925659E-9</v>
          </cell>
          <cell r="I28">
            <v>0</v>
          </cell>
          <cell r="J28">
            <v>1.3969838619232178E-9</v>
          </cell>
          <cell r="K28">
            <v>2.6193447411060333E-9</v>
          </cell>
          <cell r="L28">
            <v>5.7480065152049065E-10</v>
          </cell>
          <cell r="M28">
            <v>0</v>
          </cell>
          <cell r="N28">
            <v>1.0477378964424133E-9</v>
          </cell>
          <cell r="O28">
            <v>0</v>
          </cell>
          <cell r="P28">
            <v>1.57160684466362E-9</v>
          </cell>
          <cell r="Q28">
            <v>0</v>
          </cell>
          <cell r="R28">
            <v>-1.0477378964424133E-9</v>
          </cell>
          <cell r="S28">
            <v>3.2014213502407074E-9</v>
          </cell>
          <cell r="T28">
            <v>-5.8207660913467407E-11</v>
          </cell>
          <cell r="U28">
            <v>-1.3969838619232178E-9</v>
          </cell>
          <cell r="V28">
            <v>-9.3132257461547852E-10</v>
          </cell>
          <cell r="W28">
            <v>4.0745362639427185E-10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4.1909515857696533E-8</v>
          </cell>
          <cell r="AJ28">
            <v>0</v>
          </cell>
          <cell r="AK28">
            <v>0</v>
          </cell>
          <cell r="AL28">
            <v>0</v>
          </cell>
          <cell r="AN28">
            <v>1.6298145055770874E-9</v>
          </cell>
          <cell r="AO28">
            <v>-1.8771970644593239E-8</v>
          </cell>
          <cell r="AP28">
            <v>0</v>
          </cell>
          <cell r="AS28">
            <v>-1.8771970644593239E-8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J28">
            <v>0</v>
          </cell>
        </row>
        <row r="31">
          <cell r="G31">
            <v>322444</v>
          </cell>
          <cell r="H31">
            <v>272091</v>
          </cell>
          <cell r="I31">
            <v>126856</v>
          </cell>
          <cell r="J31">
            <v>99336.82</v>
          </cell>
          <cell r="K31">
            <v>195299</v>
          </cell>
          <cell r="L31">
            <v>171013</v>
          </cell>
          <cell r="M31">
            <v>83813</v>
          </cell>
          <cell r="N31">
            <v>213398.5</v>
          </cell>
          <cell r="O31">
            <v>68320</v>
          </cell>
          <cell r="P31">
            <v>91927</v>
          </cell>
          <cell r="Q31">
            <v>98262</v>
          </cell>
          <cell r="R31">
            <v>108931.5</v>
          </cell>
          <cell r="S31">
            <v>208976</v>
          </cell>
          <cell r="T31">
            <v>27981</v>
          </cell>
          <cell r="U31">
            <v>47998</v>
          </cell>
          <cell r="V31">
            <v>128048</v>
          </cell>
          <cell r="W31">
            <v>54002</v>
          </cell>
          <cell r="Z31">
            <v>2318696.8200000003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2318696.8200000003</v>
          </cell>
          <cell r="AJ31">
            <v>238390</v>
          </cell>
          <cell r="AK31">
            <v>236322</v>
          </cell>
          <cell r="AL31">
            <v>175320</v>
          </cell>
          <cell r="AN31">
            <v>650032</v>
          </cell>
          <cell r="AO31">
            <v>91549.474000000002</v>
          </cell>
          <cell r="AP31">
            <v>0</v>
          </cell>
          <cell r="AS31">
            <v>91549.474000000002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J31">
            <v>0</v>
          </cell>
        </row>
        <row r="32">
          <cell r="F32">
            <v>326467139.40599996</v>
          </cell>
          <cell r="G32">
            <v>31085544.923</v>
          </cell>
          <cell r="H32">
            <v>26344087.277000003</v>
          </cell>
          <cell r="I32">
            <v>11751660.443</v>
          </cell>
          <cell r="J32">
            <v>9490021.9940000009</v>
          </cell>
          <cell r="K32">
            <v>21027944.947000001</v>
          </cell>
          <cell r="L32">
            <v>16761080.318</v>
          </cell>
          <cell r="M32">
            <v>7561872.3000000007</v>
          </cell>
          <cell r="N32">
            <v>21253134.949999999</v>
          </cell>
          <cell r="O32">
            <v>6321053.8470000001</v>
          </cell>
          <cell r="P32">
            <v>8761840.3800000008</v>
          </cell>
          <cell r="Q32">
            <v>8708155.6710000001</v>
          </cell>
          <cell r="R32">
            <v>11372861.967999998</v>
          </cell>
          <cell r="S32">
            <v>20122703.657000002</v>
          </cell>
          <cell r="T32">
            <v>3052954.0989999999</v>
          </cell>
          <cell r="U32">
            <v>5272309.4409999987</v>
          </cell>
          <cell r="V32">
            <v>12455127.586999999</v>
          </cell>
          <cell r="W32">
            <v>6660059.881000001</v>
          </cell>
          <cell r="Z32">
            <v>228002413.68300003</v>
          </cell>
          <cell r="AA32">
            <v>125000</v>
          </cell>
          <cell r="AB32">
            <v>0</v>
          </cell>
          <cell r="AC32">
            <v>125000</v>
          </cell>
          <cell r="AD32">
            <v>300900</v>
          </cell>
          <cell r="AH32">
            <v>550900</v>
          </cell>
          <cell r="AI32">
            <v>228553313.68300003</v>
          </cell>
          <cell r="AJ32">
            <v>6779638.4000000004</v>
          </cell>
          <cell r="AK32">
            <v>3191646</v>
          </cell>
          <cell r="AL32">
            <v>3366910.4</v>
          </cell>
          <cell r="AN32">
            <v>13338194.800000001</v>
          </cell>
          <cell r="AO32">
            <v>83821366.503999978</v>
          </cell>
          <cell r="AP32">
            <v>0</v>
          </cell>
          <cell r="AS32">
            <v>83821366.503999978</v>
          </cell>
          <cell r="AT32">
            <v>56778.599999999991</v>
          </cell>
          <cell r="AU32">
            <v>58680</v>
          </cell>
          <cell r="AV32">
            <v>621971.36900000006</v>
          </cell>
          <cell r="BA32">
            <v>737429.96900000004</v>
          </cell>
          <cell r="BB32">
            <v>0</v>
          </cell>
          <cell r="BC32">
            <v>16834.449999999997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J32">
            <v>16834.449999999997</v>
          </cell>
        </row>
        <row r="33">
          <cell r="F33">
            <v>305954893.83194005</v>
          </cell>
          <cell r="G33">
            <v>28194552.417000003</v>
          </cell>
          <cell r="H33">
            <v>25476291.738979999</v>
          </cell>
          <cell r="I33">
            <v>11594297.188000001</v>
          </cell>
          <cell r="J33">
            <v>9137444.4330000002</v>
          </cell>
          <cell r="K33">
            <v>18561852.683999997</v>
          </cell>
          <cell r="L33">
            <v>14997776.086000001</v>
          </cell>
          <cell r="M33">
            <v>7540610.432</v>
          </cell>
          <cell r="N33">
            <v>19055338.217999998</v>
          </cell>
          <cell r="O33">
            <v>6116793.6319999993</v>
          </cell>
          <cell r="P33">
            <v>8215017.5639999993</v>
          </cell>
          <cell r="Q33">
            <v>8364838.1299999999</v>
          </cell>
          <cell r="R33">
            <v>10162830.109999999</v>
          </cell>
          <cell r="S33">
            <v>18770265.917999998</v>
          </cell>
          <cell r="T33">
            <v>2760321.3059999999</v>
          </cell>
          <cell r="U33">
            <v>4187057.659</v>
          </cell>
          <cell r="V33">
            <v>10904046.986000001</v>
          </cell>
          <cell r="W33">
            <v>5868153.1280000005</v>
          </cell>
          <cell r="Z33">
            <v>209907487.62997997</v>
          </cell>
          <cell r="AA33">
            <v>22845.426999999996</v>
          </cell>
          <cell r="AB33">
            <v>0</v>
          </cell>
          <cell r="AC33">
            <v>37497.399999999994</v>
          </cell>
          <cell r="AD33">
            <v>96698.801999999996</v>
          </cell>
          <cell r="AH33">
            <v>157041.62899999999</v>
          </cell>
          <cell r="AI33">
            <v>210064529.25897998</v>
          </cell>
          <cell r="AJ33">
            <v>6439382.1049900008</v>
          </cell>
          <cell r="AK33">
            <v>2735218.7409699997</v>
          </cell>
          <cell r="AL33">
            <v>4506611.8829999994</v>
          </cell>
          <cell r="AN33">
            <v>13681212.72896</v>
          </cell>
          <cell r="AO33">
            <v>82384711.490999997</v>
          </cell>
          <cell r="AP33">
            <v>0</v>
          </cell>
          <cell r="AS33">
            <v>82384711.490999997</v>
          </cell>
          <cell r="AT33">
            <v>14674.772000000001</v>
          </cell>
          <cell r="AU33">
            <v>46229.347000000002</v>
          </cell>
          <cell r="AV33">
            <v>0</v>
          </cell>
          <cell r="BA33">
            <v>60904.119000000006</v>
          </cell>
          <cell r="BB33">
            <v>0</v>
          </cell>
          <cell r="BC33">
            <v>0</v>
          </cell>
          <cell r="BD33">
            <v>-497233.32</v>
          </cell>
          <cell r="BE33">
            <v>0</v>
          </cell>
          <cell r="BF33">
            <v>112.94</v>
          </cell>
          <cell r="BG33">
            <v>302804.88</v>
          </cell>
          <cell r="BH33">
            <v>-42148.265999999996</v>
          </cell>
          <cell r="BJ33">
            <v>-236463.766</v>
          </cell>
        </row>
        <row r="34">
          <cell r="F34">
            <v>20512245.574059904</v>
          </cell>
          <cell r="G34">
            <v>2890992.5059999973</v>
          </cell>
          <cell r="H34">
            <v>867795.53802000359</v>
          </cell>
          <cell r="I34">
            <v>157363.25499999896</v>
          </cell>
          <cell r="J34">
            <v>352577.56100000069</v>
          </cell>
          <cell r="K34">
            <v>2466092.263000004</v>
          </cell>
          <cell r="L34">
            <v>1763304.2319999989</v>
          </cell>
          <cell r="M34">
            <v>21261.868000000715</v>
          </cell>
          <cell r="N34">
            <v>2197796.7320000008</v>
          </cell>
          <cell r="O34">
            <v>204260.21500000078</v>
          </cell>
          <cell r="P34">
            <v>546822.81600000151</v>
          </cell>
          <cell r="Q34">
            <v>343317.5410000002</v>
          </cell>
          <cell r="R34">
            <v>1210031.8579999991</v>
          </cell>
          <cell r="S34">
            <v>1352437.7390000038</v>
          </cell>
          <cell r="T34">
            <v>292632.79300000006</v>
          </cell>
          <cell r="U34">
            <v>1085251.7819999987</v>
          </cell>
          <cell r="V34">
            <v>1551080.6009999979</v>
          </cell>
          <cell r="W34">
            <v>791906.75300000049</v>
          </cell>
          <cell r="Z34">
            <v>18094926.05302006</v>
          </cell>
          <cell r="AA34">
            <v>102154.573</v>
          </cell>
          <cell r="AB34">
            <v>0</v>
          </cell>
          <cell r="AC34">
            <v>87502.6</v>
          </cell>
          <cell r="AD34">
            <v>204201.198</v>
          </cell>
          <cell r="AH34">
            <v>393858.37100000004</v>
          </cell>
          <cell r="AI34">
            <v>18488784.424020052</v>
          </cell>
          <cell r="AJ34">
            <v>340256.29500999954</v>
          </cell>
          <cell r="AK34">
            <v>456427.25903000031</v>
          </cell>
          <cell r="AL34">
            <v>-1139701.4829999995</v>
          </cell>
          <cell r="AN34">
            <v>-343017.92895999923</v>
          </cell>
          <cell r="AO34">
            <v>1436655.0129999816</v>
          </cell>
          <cell r="AP34">
            <v>0</v>
          </cell>
          <cell r="AS34">
            <v>1436655.0129999816</v>
          </cell>
          <cell r="AT34">
            <v>42103.827999999994</v>
          </cell>
          <cell r="AU34">
            <v>12450.652999999998</v>
          </cell>
          <cell r="AV34">
            <v>621971.36900000006</v>
          </cell>
          <cell r="BA34">
            <v>676525.85000000009</v>
          </cell>
          <cell r="BB34">
            <v>0</v>
          </cell>
          <cell r="BC34">
            <v>16834.449999999997</v>
          </cell>
          <cell r="BD34">
            <v>497233.32</v>
          </cell>
          <cell r="BE34">
            <v>0</v>
          </cell>
          <cell r="BF34">
            <v>-112.94</v>
          </cell>
          <cell r="BG34">
            <v>-302804.88</v>
          </cell>
          <cell r="BH34">
            <v>42148.265999999996</v>
          </cell>
          <cell r="BJ34">
            <v>253298.21600000001</v>
          </cell>
        </row>
        <row r="35">
          <cell r="F35">
            <v>26659959.313003711</v>
          </cell>
          <cell r="G35">
            <v>2787204.8662352297</v>
          </cell>
          <cell r="H35">
            <v>2470390.1006758804</v>
          </cell>
          <cell r="I35">
            <v>1361692.9551724819</v>
          </cell>
          <cell r="J35">
            <v>1032124.8516965811</v>
          </cell>
          <cell r="K35">
            <v>2056161.7464567672</v>
          </cell>
          <cell r="L35">
            <v>1726376.8418090711</v>
          </cell>
          <cell r="M35">
            <v>905334.55288503063</v>
          </cell>
          <cell r="N35">
            <v>1996976.0763336972</v>
          </cell>
          <cell r="O35">
            <v>762085.66234457376</v>
          </cell>
          <cell r="P35">
            <v>924096.37328871118</v>
          </cell>
          <cell r="Q35">
            <v>931640.40244452981</v>
          </cell>
          <cell r="R35">
            <v>1071531.2699489135</v>
          </cell>
          <cell r="S35">
            <v>1850026.4889902992</v>
          </cell>
          <cell r="T35">
            <v>335034.46799936431</v>
          </cell>
          <cell r="U35">
            <v>481230.71555846394</v>
          </cell>
          <cell r="V35">
            <v>1142973.711419096</v>
          </cell>
          <cell r="W35">
            <v>614433.37918515224</v>
          </cell>
          <cell r="Z35">
            <v>22449314.462443843</v>
          </cell>
          <cell r="AA35">
            <v>89714.823000000004</v>
          </cell>
          <cell r="AB35">
            <v>2427.8049999999998</v>
          </cell>
          <cell r="AC35">
            <v>0</v>
          </cell>
          <cell r="AD35">
            <v>0</v>
          </cell>
          <cell r="AH35">
            <v>92142.627999999997</v>
          </cell>
          <cell r="AI35">
            <v>22541457.090443842</v>
          </cell>
          <cell r="AJ35">
            <v>245889.18920019284</v>
          </cell>
          <cell r="AK35">
            <v>113491.08878967477</v>
          </cell>
          <cell r="AL35">
            <v>124134.83765999999</v>
          </cell>
          <cell r="AN35">
            <v>483515.11564986757</v>
          </cell>
          <cell r="AO35">
            <v>1513405.1470000001</v>
          </cell>
          <cell r="AP35">
            <v>0</v>
          </cell>
          <cell r="AS35">
            <v>1513405.1470000001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138647.538</v>
          </cell>
          <cell r="BD35">
            <v>0</v>
          </cell>
          <cell r="BE35">
            <v>1243000.0719999999</v>
          </cell>
          <cell r="BF35">
            <v>283396.04099999997</v>
          </cell>
          <cell r="BG35">
            <v>456538.30891000002</v>
          </cell>
          <cell r="BH35">
            <v>0</v>
          </cell>
          <cell r="BJ35">
            <v>2121581.9599099997</v>
          </cell>
        </row>
        <row r="36">
          <cell r="F36">
            <v>-6147713.7389438078</v>
          </cell>
          <cell r="G36">
            <v>103787.63976476761</v>
          </cell>
          <cell r="H36">
            <v>-1602594.5626558769</v>
          </cell>
          <cell r="I36">
            <v>-1204329.700172483</v>
          </cell>
          <cell r="J36">
            <v>-679547.29069658043</v>
          </cell>
          <cell r="K36">
            <v>409930.51654323679</v>
          </cell>
          <cell r="L36">
            <v>36927.390190927777</v>
          </cell>
          <cell r="M36">
            <v>-884072.68488502991</v>
          </cell>
          <cell r="N36">
            <v>200820.65566630359</v>
          </cell>
          <cell r="O36">
            <v>-557825.44734457298</v>
          </cell>
          <cell r="P36">
            <v>-377273.55728870968</v>
          </cell>
          <cell r="Q36">
            <v>-588322.86144452961</v>
          </cell>
          <cell r="R36">
            <v>138500.58805108559</v>
          </cell>
          <cell r="S36">
            <v>-497588.74999029539</v>
          </cell>
          <cell r="T36">
            <v>-42401.674999364244</v>
          </cell>
          <cell r="U36">
            <v>604021.06644153479</v>
          </cell>
          <cell r="V36">
            <v>408106.88958090195</v>
          </cell>
          <cell r="W36">
            <v>177473.37381484825</v>
          </cell>
          <cell r="Z36">
            <v>-4354388.4094237834</v>
          </cell>
          <cell r="AA36">
            <v>12439.75</v>
          </cell>
          <cell r="AB36">
            <v>-2427.8049999999998</v>
          </cell>
          <cell r="AC36">
            <v>87502.6</v>
          </cell>
          <cell r="AD36">
            <v>204201.198</v>
          </cell>
          <cell r="AH36">
            <v>301715.74300000002</v>
          </cell>
          <cell r="AI36">
            <v>-4052672.6664237902</v>
          </cell>
          <cell r="AJ36">
            <v>94367.105809806701</v>
          </cell>
          <cell r="AK36">
            <v>342936.1702403255</v>
          </cell>
          <cell r="AL36">
            <v>-1263836.3206599995</v>
          </cell>
          <cell r="AN36">
            <v>-826533.0446098668</v>
          </cell>
          <cell r="AO36">
            <v>-76750.134000018472</v>
          </cell>
          <cell r="AP36">
            <v>0</v>
          </cell>
          <cell r="AS36">
            <v>-76750.134000018472</v>
          </cell>
          <cell r="AT36">
            <v>42103.827999999994</v>
          </cell>
          <cell r="AU36">
            <v>12450.652999999998</v>
          </cell>
          <cell r="AV36">
            <v>621971.36900000006</v>
          </cell>
          <cell r="BA36">
            <v>676525.85000000009</v>
          </cell>
          <cell r="BB36">
            <v>0</v>
          </cell>
          <cell r="BC36">
            <v>-121813.088</v>
          </cell>
          <cell r="BD36">
            <v>497233.32</v>
          </cell>
          <cell r="BE36">
            <v>-1243000.0719999999</v>
          </cell>
          <cell r="BF36">
            <v>-283508.98099999997</v>
          </cell>
          <cell r="BG36">
            <v>-759343.18891000003</v>
          </cell>
          <cell r="BH36">
            <v>42148.265999999996</v>
          </cell>
          <cell r="BJ36">
            <v>-1868283.7439099997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H38">
            <v>0</v>
          </cell>
          <cell r="AI38">
            <v>0</v>
          </cell>
          <cell r="AJ38">
            <v>-79863</v>
          </cell>
          <cell r="AK38">
            <v>-75992</v>
          </cell>
          <cell r="AL38">
            <v>-98982</v>
          </cell>
          <cell r="AN38">
            <v>-254837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J38">
            <v>0</v>
          </cell>
        </row>
        <row r="39">
          <cell r="F39">
            <v>-5477992.4000000004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H39">
            <v>0</v>
          </cell>
          <cell r="AI39">
            <v>0</v>
          </cell>
          <cell r="AJ39">
            <v>-2315267.4</v>
          </cell>
          <cell r="AK39">
            <v>-1218912</v>
          </cell>
          <cell r="AL39">
            <v>-1943813</v>
          </cell>
          <cell r="AN39">
            <v>-5477992.4000000004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J39">
            <v>0</v>
          </cell>
        </row>
        <row r="40">
          <cell r="F40">
            <v>-5477992.3999999994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350985.592</v>
          </cell>
          <cell r="L40">
            <v>-153049.962</v>
          </cell>
          <cell r="M40">
            <v>-7110.7159999999994</v>
          </cell>
          <cell r="N40">
            <v>-8445.5769999999993</v>
          </cell>
          <cell r="O40">
            <v>0</v>
          </cell>
          <cell r="P40">
            <v>9844.6110000000008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Z40">
            <v>192223.94800000003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H40">
            <v>0</v>
          </cell>
          <cell r="AI40">
            <v>192223.94800000003</v>
          </cell>
          <cell r="AJ40">
            <v>-2169256.571</v>
          </cell>
          <cell r="AK40">
            <v>-1015710.7640000002</v>
          </cell>
          <cell r="AL40">
            <v>-2485249.0129999998</v>
          </cell>
          <cell r="AN40">
            <v>-5670216.3479999993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-350985.592</v>
          </cell>
          <cell r="L41">
            <v>153049.962</v>
          </cell>
          <cell r="M41">
            <v>7110.7159999999994</v>
          </cell>
          <cell r="N41">
            <v>8445.5769999999993</v>
          </cell>
          <cell r="O41">
            <v>0</v>
          </cell>
          <cell r="P41">
            <v>-9844.6110000000008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Z41">
            <v>-192223.94800000003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-192223.94800000003</v>
          </cell>
          <cell r="AJ41">
            <v>-146010.82899999991</v>
          </cell>
          <cell r="AK41">
            <v>-203201.2359999998</v>
          </cell>
          <cell r="AL41">
            <v>541436.0129999998</v>
          </cell>
          <cell r="AN41">
            <v>192223.94799999893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J41">
            <v>0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-350985.592</v>
          </cell>
          <cell r="L43">
            <v>153049.962</v>
          </cell>
          <cell r="M43">
            <v>7110.7159999999994</v>
          </cell>
          <cell r="N43">
            <v>8445.5769999999993</v>
          </cell>
          <cell r="O43">
            <v>0</v>
          </cell>
          <cell r="P43">
            <v>-9844.6110000000008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Z43">
            <v>-192223.94800000003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-192223.94800000003</v>
          </cell>
          <cell r="AJ43">
            <v>-146010.82899999991</v>
          </cell>
          <cell r="AK43">
            <v>-203201.2359999998</v>
          </cell>
          <cell r="AL43">
            <v>541436.0129999998</v>
          </cell>
          <cell r="AN43">
            <v>192223.94799999893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J43">
            <v>0</v>
          </cell>
        </row>
        <row r="45">
          <cell r="G45">
            <v>322444</v>
          </cell>
          <cell r="H45">
            <v>272091</v>
          </cell>
          <cell r="I45">
            <v>126856</v>
          </cell>
          <cell r="J45">
            <v>99336.82</v>
          </cell>
          <cell r="K45">
            <v>195299</v>
          </cell>
          <cell r="L45">
            <v>171013</v>
          </cell>
          <cell r="M45">
            <v>83813</v>
          </cell>
          <cell r="N45">
            <v>213398.5</v>
          </cell>
          <cell r="O45">
            <v>68320</v>
          </cell>
          <cell r="P45">
            <v>91927</v>
          </cell>
          <cell r="Q45">
            <v>98262</v>
          </cell>
          <cell r="R45">
            <v>108931.5</v>
          </cell>
          <cell r="S45">
            <v>208976</v>
          </cell>
          <cell r="T45">
            <v>27981</v>
          </cell>
          <cell r="U45">
            <v>47998</v>
          </cell>
          <cell r="V45">
            <v>128048</v>
          </cell>
          <cell r="W45">
            <v>54002</v>
          </cell>
          <cell r="Z45">
            <v>2318696.8200000003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2318696.8200000003</v>
          </cell>
          <cell r="AJ45">
            <v>158527</v>
          </cell>
          <cell r="AK45">
            <v>160330</v>
          </cell>
          <cell r="AL45">
            <v>76338</v>
          </cell>
          <cell r="AN45">
            <v>395195</v>
          </cell>
          <cell r="AO45">
            <v>91549.474000000002</v>
          </cell>
          <cell r="AP45">
            <v>0</v>
          </cell>
          <cell r="AS45">
            <v>91549.474000000002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J45">
            <v>0</v>
          </cell>
        </row>
        <row r="46">
          <cell r="F46">
            <v>320989147.00599998</v>
          </cell>
          <cell r="G46">
            <v>31085544.923</v>
          </cell>
          <cell r="H46">
            <v>26344087.277000003</v>
          </cell>
          <cell r="I46">
            <v>11751660.443</v>
          </cell>
          <cell r="J46">
            <v>9490021.9940000009</v>
          </cell>
          <cell r="K46">
            <v>21027944.947000001</v>
          </cell>
          <cell r="L46">
            <v>16761080.318</v>
          </cell>
          <cell r="M46">
            <v>7561872.3000000007</v>
          </cell>
          <cell r="N46">
            <v>21253134.949999999</v>
          </cell>
          <cell r="O46">
            <v>6321053.8470000001</v>
          </cell>
          <cell r="P46">
            <v>8761840.3800000008</v>
          </cell>
          <cell r="Q46">
            <v>8708155.6710000001</v>
          </cell>
          <cell r="R46">
            <v>11372861.967999998</v>
          </cell>
          <cell r="S46">
            <v>20122703.657000002</v>
          </cell>
          <cell r="T46">
            <v>3052954.0989999999</v>
          </cell>
          <cell r="U46">
            <v>5272309.4409999987</v>
          </cell>
          <cell r="V46">
            <v>12455127.586999999</v>
          </cell>
          <cell r="W46">
            <v>6660059.881000001</v>
          </cell>
          <cell r="Z46">
            <v>228002413.68300003</v>
          </cell>
          <cell r="AA46">
            <v>125000</v>
          </cell>
          <cell r="AB46">
            <v>0</v>
          </cell>
          <cell r="AC46">
            <v>125000</v>
          </cell>
          <cell r="AD46">
            <v>300900</v>
          </cell>
          <cell r="AH46">
            <v>550900</v>
          </cell>
          <cell r="AI46">
            <v>228553313.68300003</v>
          </cell>
          <cell r="AJ46">
            <v>4464371</v>
          </cell>
          <cell r="AK46">
            <v>1972734</v>
          </cell>
          <cell r="AL46">
            <v>1423097.4</v>
          </cell>
          <cell r="AN46">
            <v>7860202.4000000004</v>
          </cell>
          <cell r="AO46">
            <v>83821366.503999978</v>
          </cell>
          <cell r="AP46">
            <v>0</v>
          </cell>
          <cell r="AS46">
            <v>83821366.503999978</v>
          </cell>
          <cell r="AT46">
            <v>56778.599999999991</v>
          </cell>
          <cell r="AU46">
            <v>58680</v>
          </cell>
          <cell r="AV46">
            <v>621971.36900000006</v>
          </cell>
          <cell r="BA46">
            <v>737429.96900000004</v>
          </cell>
          <cell r="BB46">
            <v>0</v>
          </cell>
          <cell r="BC46">
            <v>16834.449999999997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J46">
            <v>16834.449999999997</v>
          </cell>
        </row>
        <row r="47">
          <cell r="F47">
            <v>300476901.43194002</v>
          </cell>
          <cell r="G47">
            <v>28194552.417000003</v>
          </cell>
          <cell r="H47">
            <v>25476291.738979999</v>
          </cell>
          <cell r="I47">
            <v>11594297.188000001</v>
          </cell>
          <cell r="J47">
            <v>9137444.4330000002</v>
          </cell>
          <cell r="K47">
            <v>18912838.275999997</v>
          </cell>
          <cell r="L47">
            <v>14844726.124000002</v>
          </cell>
          <cell r="M47">
            <v>7533499.716</v>
          </cell>
          <cell r="N47">
            <v>19046892.640999999</v>
          </cell>
          <cell r="O47">
            <v>6116793.6319999993</v>
          </cell>
          <cell r="P47">
            <v>8224862.1749999989</v>
          </cell>
          <cell r="Q47">
            <v>8364838.1299999999</v>
          </cell>
          <cell r="R47">
            <v>10162830.109999999</v>
          </cell>
          <cell r="S47">
            <v>18770265.917999998</v>
          </cell>
          <cell r="T47">
            <v>2760321.3059999999</v>
          </cell>
          <cell r="U47">
            <v>4187057.659</v>
          </cell>
          <cell r="V47">
            <v>10904046.986000001</v>
          </cell>
          <cell r="W47">
            <v>5868153.1280000005</v>
          </cell>
          <cell r="Z47">
            <v>210099711.57797998</v>
          </cell>
          <cell r="AA47">
            <v>22845.426999999996</v>
          </cell>
          <cell r="AB47">
            <v>0</v>
          </cell>
          <cell r="AC47">
            <v>37497.399999999994</v>
          </cell>
          <cell r="AD47">
            <v>96698.801999999996</v>
          </cell>
          <cell r="AH47">
            <v>157041.62899999999</v>
          </cell>
          <cell r="AI47">
            <v>210256753.20697999</v>
          </cell>
          <cell r="AJ47">
            <v>4270125.5339900013</v>
          </cell>
          <cell r="AK47">
            <v>1719507.9769699995</v>
          </cell>
          <cell r="AL47">
            <v>2021362.8699999996</v>
          </cell>
          <cell r="AN47">
            <v>8010996.3809600007</v>
          </cell>
          <cell r="AO47">
            <v>82384711.490999997</v>
          </cell>
          <cell r="AP47">
            <v>0</v>
          </cell>
          <cell r="AS47">
            <v>82384711.490999997</v>
          </cell>
          <cell r="AT47">
            <v>14674.772000000001</v>
          </cell>
          <cell r="AU47">
            <v>46229.347000000002</v>
          </cell>
          <cell r="AV47">
            <v>0</v>
          </cell>
          <cell r="BA47">
            <v>60904.119000000006</v>
          </cell>
          <cell r="BB47">
            <v>0</v>
          </cell>
          <cell r="BC47">
            <v>0</v>
          </cell>
          <cell r="BD47">
            <v>-497233.32</v>
          </cell>
          <cell r="BE47">
            <v>0</v>
          </cell>
          <cell r="BF47">
            <v>112.94</v>
          </cell>
          <cell r="BG47">
            <v>302804.88</v>
          </cell>
          <cell r="BH47">
            <v>-42148.265999999996</v>
          </cell>
          <cell r="BJ47">
            <v>-236463.766</v>
          </cell>
        </row>
        <row r="48">
          <cell r="F48">
            <v>20512245.574059963</v>
          </cell>
          <cell r="G48">
            <v>2890992.5059999973</v>
          </cell>
          <cell r="H48">
            <v>867795.53802000359</v>
          </cell>
          <cell r="I48">
            <v>157363.25499999896</v>
          </cell>
          <cell r="J48">
            <v>352577.56100000069</v>
          </cell>
          <cell r="K48">
            <v>2115106.6710000038</v>
          </cell>
          <cell r="L48">
            <v>1916354.1939999983</v>
          </cell>
          <cell r="M48">
            <v>28372.58400000073</v>
          </cell>
          <cell r="N48">
            <v>2206242.3090000004</v>
          </cell>
          <cell r="O48">
            <v>204260.21500000078</v>
          </cell>
          <cell r="P48">
            <v>536978.20500000194</v>
          </cell>
          <cell r="Q48">
            <v>343317.5410000002</v>
          </cell>
          <cell r="R48">
            <v>1210031.8579999991</v>
          </cell>
          <cell r="S48">
            <v>1352437.7390000038</v>
          </cell>
          <cell r="T48">
            <v>292632.79300000006</v>
          </cell>
          <cell r="U48">
            <v>1085251.7819999987</v>
          </cell>
          <cell r="V48">
            <v>1551080.6009999979</v>
          </cell>
          <cell r="W48">
            <v>791906.75300000049</v>
          </cell>
          <cell r="Z48">
            <v>17902702.105020046</v>
          </cell>
          <cell r="AA48">
            <v>102154.573</v>
          </cell>
          <cell r="AB48">
            <v>0</v>
          </cell>
          <cell r="AC48">
            <v>87502.6</v>
          </cell>
          <cell r="AD48">
            <v>204201.198</v>
          </cell>
          <cell r="AH48">
            <v>393858.37100000004</v>
          </cell>
          <cell r="AI48">
            <v>18296560.476020038</v>
          </cell>
          <cell r="AJ48">
            <v>194245.46600999869</v>
          </cell>
          <cell r="AK48">
            <v>253226.02303000051</v>
          </cell>
          <cell r="AL48">
            <v>-598265.46999999974</v>
          </cell>
          <cell r="AN48">
            <v>-150793.98096000031</v>
          </cell>
          <cell r="AO48">
            <v>1436655.0129999816</v>
          </cell>
          <cell r="AP48">
            <v>0</v>
          </cell>
          <cell r="AS48">
            <v>1436655.0129999816</v>
          </cell>
          <cell r="AT48">
            <v>42103.827999999994</v>
          </cell>
          <cell r="AU48">
            <v>12450.652999999998</v>
          </cell>
          <cell r="AV48">
            <v>621971.36900000006</v>
          </cell>
          <cell r="BA48">
            <v>676525.85000000009</v>
          </cell>
          <cell r="BB48">
            <v>0</v>
          </cell>
          <cell r="BC48">
            <v>16834.449999999997</v>
          </cell>
          <cell r="BD48">
            <v>497233.32</v>
          </cell>
          <cell r="BE48">
            <v>0</v>
          </cell>
          <cell r="BF48">
            <v>-112.94</v>
          </cell>
          <cell r="BG48">
            <v>-302804.88</v>
          </cell>
          <cell r="BH48">
            <v>42148.265999999996</v>
          </cell>
          <cell r="BJ48">
            <v>253298.21600000001</v>
          </cell>
        </row>
        <row r="49">
          <cell r="F49">
            <v>26659959.313003711</v>
          </cell>
          <cell r="G49">
            <v>2787204.8662352297</v>
          </cell>
          <cell r="H49">
            <v>2470390.1006758804</v>
          </cell>
          <cell r="I49">
            <v>1361692.9551724819</v>
          </cell>
          <cell r="J49">
            <v>1032124.8516965811</v>
          </cell>
          <cell r="K49">
            <v>2056161.7464567672</v>
          </cell>
          <cell r="L49">
            <v>1726376.8418090711</v>
          </cell>
          <cell r="M49">
            <v>905334.55288503063</v>
          </cell>
          <cell r="N49">
            <v>1996976.0763336972</v>
          </cell>
          <cell r="O49">
            <v>762085.66234457376</v>
          </cell>
          <cell r="P49">
            <v>924096.37328871118</v>
          </cell>
          <cell r="Q49">
            <v>931640.40244452981</v>
          </cell>
          <cell r="R49">
            <v>1071531.2699489135</v>
          </cell>
          <cell r="S49">
            <v>1850026.4889902992</v>
          </cell>
          <cell r="T49">
            <v>335034.46799936431</v>
          </cell>
          <cell r="U49">
            <v>481230.71555846394</v>
          </cell>
          <cell r="V49">
            <v>1142973.711419096</v>
          </cell>
          <cell r="W49">
            <v>614433.37918515224</v>
          </cell>
          <cell r="Z49">
            <v>22449314.462443843</v>
          </cell>
          <cell r="AA49">
            <v>89714.823000000004</v>
          </cell>
          <cell r="AB49">
            <v>2427.8049999999998</v>
          </cell>
          <cell r="AC49">
            <v>0</v>
          </cell>
          <cell r="AD49">
            <v>0</v>
          </cell>
          <cell r="AH49">
            <v>92142.627999999997</v>
          </cell>
          <cell r="AI49">
            <v>22541457.090443842</v>
          </cell>
          <cell r="AJ49">
            <v>245889.18920019284</v>
          </cell>
          <cell r="AK49">
            <v>113491.08878967477</v>
          </cell>
          <cell r="AL49">
            <v>124134.83765999999</v>
          </cell>
          <cell r="AN49">
            <v>483515.11564986757</v>
          </cell>
          <cell r="AO49">
            <v>1513405.1470000001</v>
          </cell>
          <cell r="AP49">
            <v>0</v>
          </cell>
          <cell r="AS49">
            <v>1513405.1470000001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138647.538</v>
          </cell>
          <cell r="BD49">
            <v>0</v>
          </cell>
          <cell r="BE49">
            <v>1243000.0719999999</v>
          </cell>
          <cell r="BF49">
            <v>283396.04099999997</v>
          </cell>
          <cell r="BG49">
            <v>456538.30891000002</v>
          </cell>
          <cell r="BH49">
            <v>0</v>
          </cell>
          <cell r="BJ49">
            <v>2121581.9599099997</v>
          </cell>
        </row>
        <row r="50">
          <cell r="F50">
            <v>-6147713.7389437482</v>
          </cell>
          <cell r="G50">
            <v>103787.63976476761</v>
          </cell>
          <cell r="H50">
            <v>-1602594.5626558769</v>
          </cell>
          <cell r="I50">
            <v>-1204329.700172483</v>
          </cell>
          <cell r="J50">
            <v>-679547.29069658043</v>
          </cell>
          <cell r="K50">
            <v>58944.924543236615</v>
          </cell>
          <cell r="L50">
            <v>189977.35219092714</v>
          </cell>
          <cell r="M50">
            <v>-876961.9688850299</v>
          </cell>
          <cell r="N50">
            <v>209266.23266630317</v>
          </cell>
          <cell r="O50">
            <v>-557825.44734457298</v>
          </cell>
          <cell r="P50">
            <v>-387118.16828870925</v>
          </cell>
          <cell r="Q50">
            <v>-588322.86144452961</v>
          </cell>
          <cell r="R50">
            <v>138500.58805108559</v>
          </cell>
          <cell r="S50">
            <v>-497588.74999029539</v>
          </cell>
          <cell r="T50">
            <v>-42401.674999364244</v>
          </cell>
          <cell r="U50">
            <v>604021.06644153479</v>
          </cell>
          <cell r="V50">
            <v>408106.88958090195</v>
          </cell>
          <cell r="W50">
            <v>177473.37381484825</v>
          </cell>
          <cell r="Z50">
            <v>-4546612.3574237972</v>
          </cell>
          <cell r="AA50">
            <v>12439.75</v>
          </cell>
          <cell r="AB50">
            <v>-2427.8049999999998</v>
          </cell>
          <cell r="AC50">
            <v>87502.6</v>
          </cell>
          <cell r="AD50">
            <v>204201.198</v>
          </cell>
          <cell r="AH50">
            <v>301715.74300000002</v>
          </cell>
          <cell r="AI50">
            <v>-4244896.614423804</v>
          </cell>
          <cell r="AJ50">
            <v>-51643.723190194141</v>
          </cell>
          <cell r="AK50">
            <v>139734.93424032573</v>
          </cell>
          <cell r="AL50">
            <v>-722400.3076599997</v>
          </cell>
          <cell r="AN50">
            <v>-634309.09660986788</v>
          </cell>
          <cell r="AO50">
            <v>-76750.134000018472</v>
          </cell>
          <cell r="AP50">
            <v>0</v>
          </cell>
          <cell r="AS50">
            <v>-76750.134000018472</v>
          </cell>
          <cell r="AT50">
            <v>42103.827999999994</v>
          </cell>
          <cell r="AU50">
            <v>12450.652999999998</v>
          </cell>
          <cell r="AV50">
            <v>621971.36900000006</v>
          </cell>
          <cell r="BA50">
            <v>676525.85000000009</v>
          </cell>
          <cell r="BB50">
            <v>0</v>
          </cell>
          <cell r="BC50">
            <v>-121813.088</v>
          </cell>
          <cell r="BD50">
            <v>497233.32</v>
          </cell>
          <cell r="BE50">
            <v>-1243000.0719999999</v>
          </cell>
          <cell r="BF50">
            <v>-283508.98099999997</v>
          </cell>
          <cell r="BG50">
            <v>-759343.18891000003</v>
          </cell>
          <cell r="BH50">
            <v>42148.265999999996</v>
          </cell>
          <cell r="BJ50">
            <v>-1868283.7439099997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하반기"/>
      <sheetName val="4분기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F6" t="str">
            <v>합계</v>
          </cell>
        </row>
      </sheetData>
      <sheetData sheetId="8">
        <row r="6">
          <cell r="F6" t="str">
            <v>합계</v>
          </cell>
        </row>
      </sheetData>
      <sheetData sheetId="9"/>
      <sheetData sheetId="10"/>
      <sheetData sheetId="11"/>
      <sheetData sheetId="12"/>
      <sheetData sheetId="13"/>
      <sheetData sheetId="14"/>
      <sheetData sheetId="15">
        <row r="6">
          <cell r="F6" t="str">
            <v>합계</v>
          </cell>
        </row>
      </sheetData>
      <sheetData sheetId="16">
        <row r="6">
          <cell r="F6" t="str">
            <v>합계</v>
          </cell>
        </row>
      </sheetData>
      <sheetData sheetId="17"/>
      <sheetData sheetId="18"/>
      <sheetData sheetId="19"/>
      <sheetData sheetId="20"/>
      <sheetData sheetId="21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H6"/>
          <cell r="BI6"/>
          <cell r="BJ6" t="str">
            <v>기타 계</v>
          </cell>
          <cell r="BK6"/>
        </row>
        <row r="7">
          <cell r="F7"/>
          <cell r="G7">
            <v>39055</v>
          </cell>
          <cell r="H7">
            <v>26461</v>
          </cell>
          <cell r="I7">
            <v>26270</v>
          </cell>
          <cell r="J7">
            <v>12124</v>
          </cell>
          <cell r="K7">
            <v>16752</v>
          </cell>
          <cell r="L7">
            <v>19663</v>
          </cell>
          <cell r="M7">
            <v>13655</v>
          </cell>
          <cell r="N7">
            <v>21756</v>
          </cell>
          <cell r="O7">
            <v>13908</v>
          </cell>
          <cell r="P7">
            <v>14580</v>
          </cell>
          <cell r="Q7">
            <v>15640</v>
          </cell>
          <cell r="R7">
            <v>14267</v>
          </cell>
          <cell r="S7">
            <v>35142.5</v>
          </cell>
          <cell r="T7">
            <v>5544</v>
          </cell>
          <cell r="U7">
            <v>9023</v>
          </cell>
          <cell r="V7">
            <v>9669.5</v>
          </cell>
          <cell r="W7">
            <v>3047</v>
          </cell>
          <cell r="X7"/>
          <cell r="Y7"/>
          <cell r="Z7">
            <v>296557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296557</v>
          </cell>
          <cell r="AJ7">
            <v>20119</v>
          </cell>
          <cell r="AK7">
            <v>1360</v>
          </cell>
          <cell r="AL7">
            <v>38611</v>
          </cell>
          <cell r="AM7"/>
          <cell r="AN7">
            <v>60090</v>
          </cell>
          <cell r="AO7">
            <v>8972.0079999999998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38619550.917000003</v>
          </cell>
          <cell r="G8">
            <v>3682427.3119999999</v>
          </cell>
          <cell r="H8">
            <v>2558609.0619999999</v>
          </cell>
          <cell r="I8">
            <v>2323423.034</v>
          </cell>
          <cell r="J8">
            <v>1149060.6040000001</v>
          </cell>
          <cell r="K8">
            <v>1728981.16</v>
          </cell>
          <cell r="L8">
            <v>1865551.9169999999</v>
          </cell>
          <cell r="M8">
            <v>1233987</v>
          </cell>
          <cell r="N8">
            <v>2122010.7220000001</v>
          </cell>
          <cell r="O8">
            <v>1309097.2</v>
          </cell>
          <cell r="P8">
            <v>1357685.3</v>
          </cell>
          <cell r="Q8">
            <v>1465484.05</v>
          </cell>
          <cell r="R8">
            <v>1420624.5</v>
          </cell>
          <cell r="S8">
            <v>3417063.906</v>
          </cell>
          <cell r="T8">
            <v>603983.277</v>
          </cell>
          <cell r="U8">
            <v>1002988.55</v>
          </cell>
          <cell r="V8">
            <v>921159.86499999999</v>
          </cell>
          <cell r="W8">
            <v>366414.06800000003</v>
          </cell>
          <cell r="X8"/>
          <cell r="Y8"/>
          <cell r="Z8">
            <v>28528551.526999999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E8"/>
          <cell r="AF8"/>
          <cell r="AG8"/>
          <cell r="AH8">
            <v>90840</v>
          </cell>
          <cell r="AI8">
            <v>28619391.526999999</v>
          </cell>
          <cell r="AJ8">
            <v>571110</v>
          </cell>
          <cell r="AK8">
            <v>15640</v>
          </cell>
          <cell r="AL8">
            <v>659068.5</v>
          </cell>
          <cell r="AM8"/>
          <cell r="AN8">
            <v>1245818.5</v>
          </cell>
          <cell r="AO8">
            <v>8678685.2690000013</v>
          </cell>
          <cell r="AP8">
            <v>0</v>
          </cell>
          <cell r="AQ8"/>
          <cell r="AR8"/>
          <cell r="AS8">
            <v>8678685.2690000013</v>
          </cell>
          <cell r="AT8">
            <v>5512.5</v>
          </cell>
          <cell r="AU8">
            <v>6650</v>
          </cell>
          <cell r="AV8">
            <v>61674.921000000002</v>
          </cell>
          <cell r="AW8"/>
          <cell r="AX8"/>
          <cell r="AY8"/>
          <cell r="AZ8"/>
          <cell r="BA8">
            <v>73837.421000000002</v>
          </cell>
          <cell r="BB8">
            <v>0</v>
          </cell>
          <cell r="BC8">
            <v>1818.2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/>
          <cell r="BI8"/>
          <cell r="BJ8">
            <v>1818.2</v>
          </cell>
          <cell r="BK8"/>
          <cell r="BL8"/>
          <cell r="BM8"/>
          <cell r="BN8"/>
          <cell r="BO8"/>
        </row>
        <row r="9">
          <cell r="F9"/>
          <cell r="G9">
            <v>94288.242529765717</v>
          </cell>
          <cell r="H9">
            <v>96693.589131174173</v>
          </cell>
          <cell r="I9">
            <v>88443.967795964985</v>
          </cell>
          <cell r="J9">
            <v>94775.701418673707</v>
          </cell>
          <cell r="K9">
            <v>103210.43218720151</v>
          </cell>
          <cell r="L9">
            <v>94876.26084524233</v>
          </cell>
          <cell r="M9">
            <v>90368.87586964482</v>
          </cell>
          <cell r="N9">
            <v>97536.80465159037</v>
          </cell>
          <cell r="O9">
            <v>94125.48173712971</v>
          </cell>
          <cell r="P9">
            <v>93119.705075445818</v>
          </cell>
          <cell r="Q9">
            <v>93701.026214833764</v>
          </cell>
          <cell r="R9">
            <v>99574.157145861085</v>
          </cell>
          <cell r="S9">
            <v>97234.513936117233</v>
          </cell>
          <cell r="T9">
            <v>108943.59253246753</v>
          </cell>
          <cell r="U9">
            <v>111159.09896930068</v>
          </cell>
          <cell r="V9">
            <v>95264.477480738409</v>
          </cell>
          <cell r="W9">
            <v>120254.04266491633</v>
          </cell>
          <cell r="X9"/>
          <cell r="Y9"/>
          <cell r="Z9">
            <v>96199.218116584656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96505.533597251109</v>
          </cell>
          <cell r="AJ9">
            <v>28386.599731596998</v>
          </cell>
          <cell r="AK9">
            <v>11500</v>
          </cell>
          <cell r="AL9">
            <v>17069.449120716894</v>
          </cell>
          <cell r="AM9"/>
          <cell r="AN9"/>
          <cell r="AO9">
            <v>967306.90264654264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34706502.109540001</v>
          </cell>
          <cell r="G10">
            <v>3423441.3805800001</v>
          </cell>
          <cell r="H10">
            <v>2397118.9923200002</v>
          </cell>
          <cell r="I10">
            <v>2180249.8712900002</v>
          </cell>
          <cell r="J10">
            <v>1019563.98471</v>
          </cell>
          <cell r="K10">
            <v>1541775.13579</v>
          </cell>
          <cell r="L10">
            <v>1629575.7836500001</v>
          </cell>
          <cell r="M10">
            <v>1165748.2493</v>
          </cell>
          <cell r="N10">
            <v>1893922.28201</v>
          </cell>
          <cell r="O10">
            <v>1111002.48771</v>
          </cell>
          <cell r="P10">
            <v>1201129.8735199999</v>
          </cell>
          <cell r="Q10">
            <v>1310927.1272499999</v>
          </cell>
          <cell r="R10">
            <v>1220109.4398000001</v>
          </cell>
          <cell r="S10">
            <v>2814758.4365700004</v>
          </cell>
          <cell r="T10">
            <v>482113.56242999999</v>
          </cell>
          <cell r="U10">
            <v>711894.12233000004</v>
          </cell>
          <cell r="V10">
            <v>813356.24967999989</v>
          </cell>
          <cell r="W10">
            <v>335220.29768999998</v>
          </cell>
          <cell r="X10"/>
          <cell r="Y10"/>
          <cell r="Z10">
            <v>25251907.276630007</v>
          </cell>
          <cell r="AA10">
            <v>593.60500000000002</v>
          </cell>
          <cell r="AB10">
            <v>0</v>
          </cell>
          <cell r="AC10">
            <v>3399.78</v>
          </cell>
          <cell r="AD10">
            <v>9479.9339999999993</v>
          </cell>
          <cell r="AE10"/>
          <cell r="AF10"/>
          <cell r="AG10"/>
          <cell r="AH10">
            <v>13473.319</v>
          </cell>
          <cell r="AI10">
            <v>25265380.595630005</v>
          </cell>
          <cell r="AJ10">
            <v>464287.71178000001</v>
          </cell>
          <cell r="AK10">
            <v>63357.021439999997</v>
          </cell>
          <cell r="AL10">
            <v>694978.03169000009</v>
          </cell>
          <cell r="AM10"/>
          <cell r="AN10">
            <v>1222622.7649100001</v>
          </cell>
          <cell r="AO10">
            <v>8468169.4929999989</v>
          </cell>
          <cell r="AP10">
            <v>0</v>
          </cell>
          <cell r="AQ10"/>
          <cell r="AR10"/>
          <cell r="AS10">
            <v>8468169.4929999989</v>
          </cell>
          <cell r="AT10">
            <v>143.00399999999999</v>
          </cell>
          <cell r="AU10">
            <v>186.25200000000001</v>
          </cell>
          <cell r="AV10">
            <v>0</v>
          </cell>
          <cell r="AW10"/>
          <cell r="AX10"/>
          <cell r="AY10"/>
          <cell r="AZ10"/>
          <cell r="BA10">
            <v>329.25599999999997</v>
          </cell>
          <cell r="BB10">
            <v>0</v>
          </cell>
          <cell r="BC10">
            <v>0</v>
          </cell>
          <cell r="BD10">
            <v>-250000</v>
          </cell>
          <cell r="BE10">
            <v>0</v>
          </cell>
          <cell r="BF10">
            <v>0</v>
          </cell>
          <cell r="BG10">
            <v>0</v>
          </cell>
          <cell r="BH10"/>
          <cell r="BI10"/>
          <cell r="BJ10">
            <v>-250000</v>
          </cell>
          <cell r="BK10"/>
          <cell r="BL10"/>
          <cell r="BM10"/>
          <cell r="BN10"/>
          <cell r="BO10"/>
        </row>
        <row r="11">
          <cell r="F11"/>
          <cell r="G11">
            <v>87656.929473306867</v>
          </cell>
          <cell r="H11">
            <v>90590.642542609887</v>
          </cell>
          <cell r="I11">
            <v>82993.904502854974</v>
          </cell>
          <cell r="J11">
            <v>84094.686960574065</v>
          </cell>
          <cell r="K11">
            <v>92035.287475525314</v>
          </cell>
          <cell r="L11">
            <v>82875.236924680881</v>
          </cell>
          <cell r="M11">
            <v>85371.530523617723</v>
          </cell>
          <cell r="N11">
            <v>87052.871943831589</v>
          </cell>
          <cell r="O11">
            <v>79882.261123813631</v>
          </cell>
          <cell r="P11">
            <v>82382.021503429336</v>
          </cell>
          <cell r="Q11">
            <v>83818.870028772362</v>
          </cell>
          <cell r="R11">
            <v>85519.69158197238</v>
          </cell>
          <cell r="S11">
            <v>80095.566239453663</v>
          </cell>
          <cell r="T11">
            <v>86961.320784632029</v>
          </cell>
          <cell r="U11">
            <v>78897.719420370166</v>
          </cell>
          <cell r="V11">
            <v>84115.647104814096</v>
          </cell>
          <cell r="W11">
            <v>110016.50728257302</v>
          </cell>
          <cell r="X11"/>
          <cell r="Y11"/>
          <cell r="Z11">
            <v>85150.265468796919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85195.697945521446</v>
          </cell>
          <cell r="AJ11">
            <v>23077.076980963269</v>
          </cell>
          <cell r="AK11">
            <v>46586.045176470587</v>
          </cell>
          <cell r="AL11">
            <v>17999.482833648442</v>
          </cell>
          <cell r="AM11"/>
          <cell r="AN11"/>
          <cell r="AO11">
            <v>943843.28380001429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3913048.8074600026</v>
          </cell>
          <cell r="G12">
            <v>258985.9314199998</v>
          </cell>
          <cell r="H12">
            <v>161490.06967999972</v>
          </cell>
          <cell r="I12">
            <v>143173.16270999983</v>
          </cell>
          <cell r="J12">
            <v>129496.61929000006</v>
          </cell>
          <cell r="K12">
            <v>187206.02420999995</v>
          </cell>
          <cell r="L12">
            <v>235976.13334999979</v>
          </cell>
          <cell r="M12">
            <v>68238.750699999975</v>
          </cell>
          <cell r="N12">
            <v>228088.4399900001</v>
          </cell>
          <cell r="O12">
            <v>198094.71228999994</v>
          </cell>
          <cell r="P12">
            <v>156555.42648000014</v>
          </cell>
          <cell r="Q12">
            <v>154556.92275000014</v>
          </cell>
          <cell r="R12">
            <v>200515.06019999995</v>
          </cell>
          <cell r="S12">
            <v>602305.46942999959</v>
          </cell>
          <cell r="T12">
            <v>121869.71457000001</v>
          </cell>
          <cell r="U12">
            <v>291094.42767</v>
          </cell>
          <cell r="V12">
            <v>107803.6153200001</v>
          </cell>
          <cell r="W12">
            <v>31193.770310000051</v>
          </cell>
          <cell r="X12"/>
          <cell r="Y12"/>
          <cell r="Z12">
            <v>3276644.2503699991</v>
          </cell>
          <cell r="AA12">
            <v>49406.394999999997</v>
          </cell>
          <cell r="AB12">
            <v>0</v>
          </cell>
          <cell r="AC12">
            <v>9100.2199999999993</v>
          </cell>
          <cell r="AD12">
            <v>18860.065999999999</v>
          </cell>
          <cell r="AE12"/>
          <cell r="AF12"/>
          <cell r="AG12"/>
          <cell r="AH12">
            <v>77366.680999999997</v>
          </cell>
          <cell r="AI12">
            <v>3354010.9313699938</v>
          </cell>
          <cell r="AJ12">
            <v>106822.28821999999</v>
          </cell>
          <cell r="AK12">
            <v>-47717.021439999997</v>
          </cell>
          <cell r="AL12">
            <v>-35909.531690000091</v>
          </cell>
          <cell r="AM12"/>
          <cell r="AN12">
            <v>23195.735089999856</v>
          </cell>
          <cell r="AO12">
            <v>210515.7760000024</v>
          </cell>
          <cell r="AP12">
            <v>0</v>
          </cell>
          <cell r="AQ12"/>
          <cell r="AR12"/>
          <cell r="AS12">
            <v>210515.7760000024</v>
          </cell>
          <cell r="AT12">
            <v>5369.4960000000001</v>
          </cell>
          <cell r="AU12">
            <v>6463.7479999999996</v>
          </cell>
          <cell r="AV12">
            <v>61674.921000000002</v>
          </cell>
          <cell r="AW12"/>
          <cell r="AX12"/>
          <cell r="AY12"/>
          <cell r="AZ12"/>
          <cell r="BA12">
            <v>73508.165000000008</v>
          </cell>
          <cell r="BB12">
            <v>0</v>
          </cell>
          <cell r="BC12">
            <v>1818.2</v>
          </cell>
          <cell r="BD12">
            <v>250000</v>
          </cell>
          <cell r="BE12">
            <v>0</v>
          </cell>
          <cell r="BF12">
            <v>0</v>
          </cell>
          <cell r="BG12">
            <v>0</v>
          </cell>
          <cell r="BH12"/>
          <cell r="BI12"/>
          <cell r="BJ12">
            <v>251818.2</v>
          </cell>
          <cell r="BK12"/>
          <cell r="BL12"/>
          <cell r="BM12"/>
          <cell r="BN12"/>
          <cell r="BO12"/>
        </row>
        <row r="13">
          <cell r="F13">
            <v>895537.97899999982</v>
          </cell>
          <cell r="G13">
            <v>78018.736000000004</v>
          </cell>
          <cell r="H13">
            <v>62346.042000000001</v>
          </cell>
          <cell r="I13">
            <v>49325.035000000003</v>
          </cell>
          <cell r="J13">
            <v>37593.241999999998</v>
          </cell>
          <cell r="K13">
            <v>56640.882999999994</v>
          </cell>
          <cell r="L13">
            <v>54342.644999999997</v>
          </cell>
          <cell r="M13">
            <v>40407.507000000005</v>
          </cell>
          <cell r="N13">
            <v>52487.308000000005</v>
          </cell>
          <cell r="O13">
            <v>33659.544999999998</v>
          </cell>
          <cell r="P13">
            <v>48655.961000000003</v>
          </cell>
          <cell r="Q13">
            <v>38486.351999999999</v>
          </cell>
          <cell r="R13">
            <v>28026.71</v>
          </cell>
          <cell r="S13">
            <v>48507.920999999995</v>
          </cell>
          <cell r="T13">
            <v>11861.206</v>
          </cell>
          <cell r="U13">
            <v>11757.76</v>
          </cell>
          <cell r="V13">
            <v>35398.331000000006</v>
          </cell>
          <cell r="W13">
            <v>14216.352999999999</v>
          </cell>
          <cell r="X13"/>
          <cell r="Y13"/>
          <cell r="Z13">
            <v>701731.53699999989</v>
          </cell>
          <cell r="AA13">
            <v>0</v>
          </cell>
          <cell r="AB13">
            <v>175.99299999999999</v>
          </cell>
          <cell r="AC13">
            <v>0</v>
          </cell>
          <cell r="AD13">
            <v>0</v>
          </cell>
          <cell r="AE13"/>
          <cell r="AF13"/>
          <cell r="AG13"/>
          <cell r="AH13">
            <v>175.99299999999999</v>
          </cell>
          <cell r="AI13">
            <v>701907.52999999991</v>
          </cell>
          <cell r="AJ13">
            <v>0</v>
          </cell>
          <cell r="AK13">
            <v>23017.728999999999</v>
          </cell>
          <cell r="AL13">
            <v>0</v>
          </cell>
          <cell r="AM13"/>
          <cell r="AN13">
            <v>23017.728999999999</v>
          </cell>
          <cell r="AO13">
            <v>161074.67800000001</v>
          </cell>
          <cell r="AP13">
            <v>0</v>
          </cell>
          <cell r="AQ13"/>
          <cell r="AR13"/>
          <cell r="AS13">
            <v>161074.67800000001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9538.0419999999995</v>
          </cell>
          <cell r="BG13">
            <v>0</v>
          </cell>
          <cell r="BH13"/>
          <cell r="BI13"/>
          <cell r="BJ13">
            <v>9538.0419999999995</v>
          </cell>
          <cell r="BK13"/>
          <cell r="BL13"/>
          <cell r="BM13"/>
          <cell r="BN13"/>
          <cell r="BO13"/>
        </row>
        <row r="14">
          <cell r="F14">
            <v>594936.95299999986</v>
          </cell>
          <cell r="G14">
            <v>52903.495999999999</v>
          </cell>
          <cell r="H14">
            <v>46361.891000000003</v>
          </cell>
          <cell r="I14">
            <v>38308.783000000003</v>
          </cell>
          <cell r="J14">
            <v>28231.363999999998</v>
          </cell>
          <cell r="K14">
            <v>35370.161999999997</v>
          </cell>
          <cell r="L14">
            <v>38314.544999999998</v>
          </cell>
          <cell r="M14">
            <v>28919.710000000003</v>
          </cell>
          <cell r="N14">
            <v>38120.112000000001</v>
          </cell>
          <cell r="O14">
            <v>21890.323</v>
          </cell>
          <cell r="P14">
            <v>35417.953000000001</v>
          </cell>
          <cell r="Q14">
            <v>29422.236999999997</v>
          </cell>
          <cell r="R14">
            <v>21010.527999999998</v>
          </cell>
          <cell r="S14">
            <v>35327.100999999995</v>
          </cell>
          <cell r="T14">
            <v>8127.7820000000002</v>
          </cell>
          <cell r="U14">
            <v>7787.9449999999997</v>
          </cell>
          <cell r="V14">
            <v>23927.633000000002</v>
          </cell>
          <cell r="W14">
            <v>11017.909</v>
          </cell>
          <cell r="X14"/>
          <cell r="Y14"/>
          <cell r="Z14">
            <v>500459.47399999993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500459.47399999993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94469.845000000001</v>
          </cell>
          <cell r="AP14">
            <v>0</v>
          </cell>
          <cell r="AQ14"/>
          <cell r="AR14"/>
          <cell r="AS14">
            <v>94469.845000000001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7.6340000000000003</v>
          </cell>
          <cell r="BG14">
            <v>0</v>
          </cell>
          <cell r="BH14"/>
          <cell r="BI14"/>
          <cell r="BJ14">
            <v>7.6340000000000003</v>
          </cell>
          <cell r="BK14"/>
          <cell r="BL14"/>
          <cell r="BM14"/>
          <cell r="BN14"/>
          <cell r="BO14"/>
        </row>
        <row r="15">
          <cell r="F15">
            <v>300601.02600000001</v>
          </cell>
          <cell r="G15">
            <v>25115.239999999998</v>
          </cell>
          <cell r="H15">
            <v>15984.151000000002</v>
          </cell>
          <cell r="I15">
            <v>11016.251999999999</v>
          </cell>
          <cell r="J15">
            <v>9361.8780000000006</v>
          </cell>
          <cell r="K15">
            <v>21270.720999999998</v>
          </cell>
          <cell r="L15">
            <v>16028.1</v>
          </cell>
          <cell r="M15">
            <v>11487.797</v>
          </cell>
          <cell r="N15">
            <v>14367.196</v>
          </cell>
          <cell r="O15">
            <v>11769.222</v>
          </cell>
          <cell r="P15">
            <v>13238.008000000002</v>
          </cell>
          <cell r="Q15">
            <v>9064.1149999999998</v>
          </cell>
          <cell r="R15">
            <v>7016.1819999999998</v>
          </cell>
          <cell r="S15">
            <v>13180.820000000002</v>
          </cell>
          <cell r="T15">
            <v>3733.424</v>
          </cell>
          <cell r="U15">
            <v>3969.8150000000001</v>
          </cell>
          <cell r="V15">
            <v>11470.698</v>
          </cell>
          <cell r="W15">
            <v>3198.444</v>
          </cell>
          <cell r="X15"/>
          <cell r="Y15"/>
          <cell r="Z15">
            <v>201272.06299999999</v>
          </cell>
          <cell r="AA15">
            <v>0</v>
          </cell>
          <cell r="AB15">
            <v>175.99299999999999</v>
          </cell>
          <cell r="AC15">
            <v>0</v>
          </cell>
          <cell r="AD15">
            <v>0</v>
          </cell>
          <cell r="AE15"/>
          <cell r="AF15"/>
          <cell r="AG15"/>
          <cell r="AH15">
            <v>175.99299999999999</v>
          </cell>
          <cell r="AI15">
            <v>201448.05599999998</v>
          </cell>
          <cell r="AJ15">
            <v>0</v>
          </cell>
          <cell r="AK15">
            <v>23017.728999999999</v>
          </cell>
          <cell r="AL15">
            <v>0</v>
          </cell>
          <cell r="AM15"/>
          <cell r="AN15">
            <v>23017.728999999999</v>
          </cell>
          <cell r="AO15">
            <v>66604.833000000013</v>
          </cell>
          <cell r="AP15">
            <v>0</v>
          </cell>
          <cell r="AQ15"/>
          <cell r="AR15"/>
          <cell r="AS15">
            <v>66604.833000000013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9530.4079999999994</v>
          </cell>
          <cell r="BG15">
            <v>0</v>
          </cell>
          <cell r="BH15"/>
          <cell r="BI15"/>
          <cell r="BJ15">
            <v>9530.4079999999994</v>
          </cell>
          <cell r="BK15"/>
          <cell r="BL15"/>
          <cell r="BM15"/>
          <cell r="BN15"/>
          <cell r="BO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/>
          <cell r="BI16"/>
          <cell r="BJ16">
            <v>0</v>
          </cell>
          <cell r="BK16"/>
          <cell r="BL16"/>
          <cell r="BM16"/>
          <cell r="BN16"/>
          <cell r="BO16"/>
        </row>
        <row r="17">
          <cell r="F17">
            <v>3017510.8284600028</v>
          </cell>
          <cell r="G17">
            <v>180967.1954199998</v>
          </cell>
          <cell r="H17">
            <v>99144.027679999723</v>
          </cell>
          <cell r="I17">
            <v>93848.127709999826</v>
          </cell>
          <cell r="J17">
            <v>91903.377290000062</v>
          </cell>
          <cell r="K17">
            <v>130565.14120999994</v>
          </cell>
          <cell r="L17">
            <v>181633.4883499998</v>
          </cell>
          <cell r="M17">
            <v>27831.24369999997</v>
          </cell>
          <cell r="N17">
            <v>175601.13199000008</v>
          </cell>
          <cell r="O17">
            <v>164435.16728999995</v>
          </cell>
          <cell r="P17">
            <v>107899.46548000013</v>
          </cell>
          <cell r="Q17">
            <v>116070.57075000014</v>
          </cell>
          <cell r="R17">
            <v>172488.35019999996</v>
          </cell>
          <cell r="S17">
            <v>553797.54842999962</v>
          </cell>
          <cell r="T17">
            <v>110008.50857000001</v>
          </cell>
          <cell r="U17">
            <v>279336.66767</v>
          </cell>
          <cell r="V17">
            <v>72405.284320000093</v>
          </cell>
          <cell r="W17">
            <v>16977.417310000052</v>
          </cell>
          <cell r="X17"/>
          <cell r="Y17"/>
          <cell r="Z17">
            <v>2574912.7133699991</v>
          </cell>
          <cell r="AA17">
            <v>49406.394999999997</v>
          </cell>
          <cell r="AB17">
            <v>-175.99299999999999</v>
          </cell>
          <cell r="AC17">
            <v>9100.2199999999993</v>
          </cell>
          <cell r="AD17">
            <v>18860.065999999999</v>
          </cell>
          <cell r="AE17"/>
          <cell r="AF17"/>
          <cell r="AG17"/>
          <cell r="AH17">
            <v>77190.687999999995</v>
          </cell>
          <cell r="AI17">
            <v>2652103.401369994</v>
          </cell>
          <cell r="AJ17">
            <v>106822.28821999999</v>
          </cell>
          <cell r="AK17">
            <v>-70734.750440000003</v>
          </cell>
          <cell r="AL17">
            <v>-35909.531690000091</v>
          </cell>
          <cell r="AM17"/>
          <cell r="AN17">
            <v>178.00608999985707</v>
          </cell>
          <cell r="AO17">
            <v>49441.098000002385</v>
          </cell>
          <cell r="AP17">
            <v>0</v>
          </cell>
          <cell r="AQ17"/>
          <cell r="AR17"/>
          <cell r="AS17">
            <v>49441.098000002385</v>
          </cell>
          <cell r="AT17">
            <v>5369.4960000000001</v>
          </cell>
          <cell r="AU17">
            <v>6463.7479999999996</v>
          </cell>
          <cell r="AV17">
            <v>61674.921000000002</v>
          </cell>
          <cell r="AW17"/>
          <cell r="AX17"/>
          <cell r="AY17"/>
          <cell r="AZ17"/>
          <cell r="BA17">
            <v>73508.165000000008</v>
          </cell>
          <cell r="BB17">
            <v>0</v>
          </cell>
          <cell r="BC17">
            <v>1818.2</v>
          </cell>
          <cell r="BD17">
            <v>250000</v>
          </cell>
          <cell r="BE17">
            <v>0</v>
          </cell>
          <cell r="BF17">
            <v>-9538.0419999999995</v>
          </cell>
          <cell r="BG17">
            <v>0</v>
          </cell>
          <cell r="BH17"/>
          <cell r="BI17"/>
          <cell r="BJ17">
            <v>242280.15800000002</v>
          </cell>
          <cell r="BK17"/>
          <cell r="BL17"/>
          <cell r="BM17"/>
          <cell r="BN17"/>
          <cell r="BO17"/>
        </row>
        <row r="18">
          <cell r="F18">
            <v>595888.06645999989</v>
          </cell>
          <cell r="G18">
            <v>29545.923419999999</v>
          </cell>
          <cell r="H18">
            <v>35250.367680000003</v>
          </cell>
          <cell r="I18">
            <v>20399.449710000001</v>
          </cell>
          <cell r="J18">
            <v>17241.308289999997</v>
          </cell>
          <cell r="K18">
            <v>72913.948209999988</v>
          </cell>
          <cell r="L18">
            <v>49027.430350000002</v>
          </cell>
          <cell r="M18">
            <v>17433.1967</v>
          </cell>
          <cell r="N18">
            <v>32833.505989999998</v>
          </cell>
          <cell r="O18">
            <v>12080.549289999999</v>
          </cell>
          <cell r="P18">
            <v>31320.604479999998</v>
          </cell>
          <cell r="Q18">
            <v>15436.419750000001</v>
          </cell>
          <cell r="R18">
            <v>14717.8662</v>
          </cell>
          <cell r="S18">
            <v>35656.406429999995</v>
          </cell>
          <cell r="T18">
            <v>5700.1985700000005</v>
          </cell>
          <cell r="U18">
            <v>10791.27967</v>
          </cell>
          <cell r="V18">
            <v>21109.477320000002</v>
          </cell>
          <cell r="W18">
            <v>12183.347310000001</v>
          </cell>
          <cell r="X18"/>
          <cell r="Y18"/>
          <cell r="Z18">
            <v>433641.27936999995</v>
          </cell>
          <cell r="AA18">
            <v>5669.0559999999996</v>
          </cell>
          <cell r="AB18">
            <v>353.67200000000003</v>
          </cell>
          <cell r="AC18">
            <v>0</v>
          </cell>
          <cell r="AD18">
            <v>0</v>
          </cell>
          <cell r="AE18"/>
          <cell r="AF18"/>
          <cell r="AG18"/>
          <cell r="AH18">
            <v>6022.7279999999992</v>
          </cell>
          <cell r="AI18">
            <v>439664.00736999995</v>
          </cell>
          <cell r="AJ18">
            <v>29596.161219999998</v>
          </cell>
          <cell r="AK18">
            <v>12575.912560000001</v>
          </cell>
          <cell r="AL18">
            <v>57155.151310000001</v>
          </cell>
          <cell r="AM18"/>
          <cell r="AN18">
            <v>99327.225089999993</v>
          </cell>
          <cell r="AO18">
            <v>5435.7690000000002</v>
          </cell>
          <cell r="AP18">
            <v>855.83600000000001</v>
          </cell>
          <cell r="AQ18"/>
          <cell r="AR18"/>
          <cell r="AS18">
            <v>6291.6050000000005</v>
          </cell>
          <cell r="AT18">
            <v>1312.8920000000001</v>
          </cell>
          <cell r="AU18">
            <v>8489.6080000000002</v>
          </cell>
          <cell r="AV18">
            <v>0</v>
          </cell>
          <cell r="AW18"/>
          <cell r="AX18"/>
          <cell r="AY18"/>
          <cell r="AZ18"/>
          <cell r="BA18">
            <v>9802.5</v>
          </cell>
          <cell r="BB18">
            <v>0</v>
          </cell>
          <cell r="BC18">
            <v>17716.904999999999</v>
          </cell>
          <cell r="BD18">
            <v>0</v>
          </cell>
          <cell r="BE18">
            <v>0</v>
          </cell>
          <cell r="BF18">
            <v>23085.823999999997</v>
          </cell>
          <cell r="BG18">
            <v>0</v>
          </cell>
          <cell r="BH18"/>
          <cell r="BI18"/>
          <cell r="BJ18">
            <v>40802.728999999992</v>
          </cell>
          <cell r="BK18"/>
          <cell r="BL18"/>
          <cell r="BM18"/>
          <cell r="BN18"/>
          <cell r="BO18"/>
        </row>
        <row r="19">
          <cell r="F19">
            <v>526376.68545999995</v>
          </cell>
          <cell r="G19">
            <v>27218.306420000001</v>
          </cell>
          <cell r="H19">
            <v>33305.236680000002</v>
          </cell>
          <cell r="I19">
            <v>18628.205710000002</v>
          </cell>
          <cell r="J19">
            <v>16049.322289999998</v>
          </cell>
          <cell r="K19">
            <v>71037.885209999993</v>
          </cell>
          <cell r="L19">
            <v>47463.031350000005</v>
          </cell>
          <cell r="M19">
            <v>16239.599699999999</v>
          </cell>
          <cell r="N19">
            <v>31270.203989999998</v>
          </cell>
          <cell r="O19">
            <v>11330.515289999999</v>
          </cell>
          <cell r="P19">
            <v>30101.840479999999</v>
          </cell>
          <cell r="Q19">
            <v>14231.033750000001</v>
          </cell>
          <cell r="R19">
            <v>13615.7122</v>
          </cell>
          <cell r="S19">
            <v>34068.208429999999</v>
          </cell>
          <cell r="T19">
            <v>5329.7995700000001</v>
          </cell>
          <cell r="U19">
            <v>10348.410669999999</v>
          </cell>
          <cell r="V19">
            <v>19982.614320000001</v>
          </cell>
          <cell r="W19">
            <v>11357.97831</v>
          </cell>
          <cell r="X19"/>
          <cell r="Y19"/>
          <cell r="Z19">
            <v>411577.90436999995</v>
          </cell>
          <cell r="AA19">
            <v>5669.0559999999996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>
            <v>5669.0559999999996</v>
          </cell>
          <cell r="AI19">
            <v>417246.96036999993</v>
          </cell>
          <cell r="AJ19">
            <v>29596.161219999998</v>
          </cell>
          <cell r="AK19">
            <v>12575.912560000001</v>
          </cell>
          <cell r="AL19">
            <v>57155.151310000001</v>
          </cell>
          <cell r="AM19"/>
          <cell r="AN19">
            <v>99327.225089999993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1312.8920000000001</v>
          </cell>
          <cell r="AU19">
            <v>8489.6080000000002</v>
          </cell>
          <cell r="AV19">
            <v>0</v>
          </cell>
          <cell r="AW19"/>
          <cell r="AX19"/>
          <cell r="AY19"/>
          <cell r="AZ19"/>
          <cell r="BA19">
            <v>9802.5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69511.380999999994</v>
          </cell>
          <cell r="G20">
            <v>2327.6170000000002</v>
          </cell>
          <cell r="H20">
            <v>1945.1310000000001</v>
          </cell>
          <cell r="I20">
            <v>1771.2439999999999</v>
          </cell>
          <cell r="J20">
            <v>1191.9860000000001</v>
          </cell>
          <cell r="K20">
            <v>1876.0630000000001</v>
          </cell>
          <cell r="L20">
            <v>1564.3989999999999</v>
          </cell>
          <cell r="M20">
            <v>1193.597</v>
          </cell>
          <cell r="N20">
            <v>1563.3019999999999</v>
          </cell>
          <cell r="O20">
            <v>750.03399999999999</v>
          </cell>
          <cell r="P20">
            <v>1218.7639999999999</v>
          </cell>
          <cell r="Q20">
            <v>1205.386</v>
          </cell>
          <cell r="R20">
            <v>1102.154</v>
          </cell>
          <cell r="S20">
            <v>1588.1980000000001</v>
          </cell>
          <cell r="T20">
            <v>370.399</v>
          </cell>
          <cell r="U20">
            <v>442.86900000000003</v>
          </cell>
          <cell r="V20">
            <v>1126.8630000000001</v>
          </cell>
          <cell r="W20">
            <v>825.36900000000003</v>
          </cell>
          <cell r="X20"/>
          <cell r="Y20"/>
          <cell r="Z20">
            <v>22063.374999999996</v>
          </cell>
          <cell r="AA20">
            <v>0</v>
          </cell>
          <cell r="AB20">
            <v>353.67200000000003</v>
          </cell>
          <cell r="AC20">
            <v>0</v>
          </cell>
          <cell r="AD20">
            <v>0</v>
          </cell>
          <cell r="AE20"/>
          <cell r="AF20"/>
          <cell r="AG20"/>
          <cell r="AH20">
            <v>353.67200000000003</v>
          </cell>
          <cell r="AI20">
            <v>22417.046999999995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5435.7690000000002</v>
          </cell>
          <cell r="AP20">
            <v>855.83600000000001</v>
          </cell>
          <cell r="AQ20"/>
          <cell r="AR20"/>
          <cell r="AS20">
            <v>6291.6050000000005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17716.904999999999</v>
          </cell>
          <cell r="BD20">
            <v>0</v>
          </cell>
          <cell r="BE20">
            <v>0</v>
          </cell>
          <cell r="BF20">
            <v>23085.823999999997</v>
          </cell>
          <cell r="BG20">
            <v>0</v>
          </cell>
          <cell r="BH20"/>
          <cell r="BI20"/>
          <cell r="BJ20">
            <v>40802.728999999992</v>
          </cell>
          <cell r="BK20"/>
          <cell r="BL20"/>
          <cell r="BM20"/>
          <cell r="BN20"/>
          <cell r="BO20"/>
        </row>
        <row r="21">
          <cell r="F21">
            <v>2421622.7620000029</v>
          </cell>
          <cell r="G21">
            <v>151421.27199999979</v>
          </cell>
          <cell r="H21">
            <v>63893.65999999972</v>
          </cell>
          <cell r="I21">
            <v>73448.677999999825</v>
          </cell>
          <cell r="J21">
            <v>74662.069000000061</v>
          </cell>
          <cell r="K21">
            <v>57651.192999999956</v>
          </cell>
          <cell r="L21">
            <v>132606.05799999979</v>
          </cell>
          <cell r="M21">
            <v>10398.04699999997</v>
          </cell>
          <cell r="N21">
            <v>142767.62600000008</v>
          </cell>
          <cell r="O21">
            <v>152354.61799999996</v>
          </cell>
          <cell r="P21">
            <v>76578.861000000135</v>
          </cell>
          <cell r="Q21">
            <v>100634.15100000014</v>
          </cell>
          <cell r="R21">
            <v>157770.48399999997</v>
          </cell>
          <cell r="S21">
            <v>518141.14199999964</v>
          </cell>
          <cell r="T21">
            <v>104308.31</v>
          </cell>
          <cell r="U21">
            <v>268545.38799999998</v>
          </cell>
          <cell r="V21">
            <v>51295.807000000088</v>
          </cell>
          <cell r="W21">
            <v>4794.0700000000506</v>
          </cell>
          <cell r="X21"/>
          <cell r="Y21"/>
          <cell r="Z21">
            <v>2141271.433999999</v>
          </cell>
          <cell r="AA21">
            <v>43737.339</v>
          </cell>
          <cell r="AB21">
            <v>-529.66499999999996</v>
          </cell>
          <cell r="AC21">
            <v>9100.2199999999993</v>
          </cell>
          <cell r="AD21">
            <v>18860.065999999999</v>
          </cell>
          <cell r="AE21"/>
          <cell r="AF21"/>
          <cell r="AG21"/>
          <cell r="AH21">
            <v>71167.959999999992</v>
          </cell>
          <cell r="AI21">
            <v>2212439.3939999943</v>
          </cell>
          <cell r="AJ21">
            <v>77226.126999999993</v>
          </cell>
          <cell r="AK21">
            <v>-83310.663</v>
          </cell>
          <cell r="AL21">
            <v>-93064.683000000092</v>
          </cell>
          <cell r="AM21"/>
          <cell r="AN21">
            <v>-99149.219000000128</v>
          </cell>
          <cell r="AO21">
            <v>44005.329000002384</v>
          </cell>
          <cell r="AP21">
            <v>-855.83600000000001</v>
          </cell>
          <cell r="AQ21"/>
          <cell r="AR21"/>
          <cell r="AS21">
            <v>43149.493000002381</v>
          </cell>
          <cell r="AT21">
            <v>4056.6040000000003</v>
          </cell>
          <cell r="AU21">
            <v>-2025.8600000000006</v>
          </cell>
          <cell r="AV21">
            <v>61674.921000000002</v>
          </cell>
          <cell r="AW21"/>
          <cell r="AX21"/>
          <cell r="AY21"/>
          <cell r="AZ21"/>
          <cell r="BA21">
            <v>63705.665000000008</v>
          </cell>
          <cell r="BB21">
            <v>0</v>
          </cell>
          <cell r="BC21">
            <v>-15898.704999999998</v>
          </cell>
          <cell r="BD21">
            <v>250000</v>
          </cell>
          <cell r="BE21">
            <v>0</v>
          </cell>
          <cell r="BF21">
            <v>-32623.865999999995</v>
          </cell>
          <cell r="BG21">
            <v>0</v>
          </cell>
          <cell r="BH21"/>
          <cell r="BI21"/>
          <cell r="BJ21">
            <v>201477.42900000003</v>
          </cell>
          <cell r="BK21"/>
          <cell r="BL21"/>
          <cell r="BM21"/>
          <cell r="BN21"/>
          <cell r="BO21"/>
        </row>
        <row r="22">
          <cell r="F22">
            <v>1247387.1419973243</v>
          </cell>
          <cell r="G22">
            <v>154271.67137263485</v>
          </cell>
          <cell r="H22">
            <v>107190.41081887063</v>
          </cell>
          <cell r="I22">
            <v>97337.523429941968</v>
          </cell>
          <cell r="J22">
            <v>48138.764154247969</v>
          </cell>
          <cell r="K22">
            <v>74355.052745878027</v>
          </cell>
          <cell r="L22">
            <v>80228.29536714495</v>
          </cell>
          <cell r="M22">
            <v>53067.766494764932</v>
          </cell>
          <cell r="N22">
            <v>91257.338606065983</v>
          </cell>
          <cell r="O22">
            <v>56297.890114361478</v>
          </cell>
          <cell r="P22">
            <v>58387.427480009821</v>
          </cell>
          <cell r="Q22">
            <v>63023.326313164085</v>
          </cell>
          <cell r="R22">
            <v>61094.135710296934</v>
          </cell>
          <cell r="S22">
            <v>136392.65124840254</v>
          </cell>
          <cell r="T22">
            <v>24108.088910798473</v>
          </cell>
          <cell r="U22">
            <v>40034.448072827749</v>
          </cell>
          <cell r="V22">
            <v>36768.243049350385</v>
          </cell>
          <cell r="W22">
            <v>14625.476012163426</v>
          </cell>
          <cell r="X22"/>
          <cell r="Y22"/>
          <cell r="Z22">
            <v>1196578.5099009243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1196578.5099009243</v>
          </cell>
          <cell r="AJ22">
            <v>23291.769931256538</v>
          </cell>
          <cell r="AK22">
            <v>637.85134514340871</v>
          </cell>
          <cell r="AL22">
            <v>26879.01082</v>
          </cell>
          <cell r="AM22"/>
          <cell r="AN22">
            <v>50808.632096399946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/>
          <cell r="BI22"/>
          <cell r="BJ22">
            <v>0</v>
          </cell>
          <cell r="BK22"/>
          <cell r="BL22"/>
          <cell r="BM22"/>
          <cell r="BN22"/>
          <cell r="BO22"/>
        </row>
        <row r="23">
          <cell r="F23">
            <v>249724.23199732427</v>
          </cell>
          <cell r="G23">
            <v>25494.676000948395</v>
          </cell>
          <cell r="H23">
            <v>17714.106354852192</v>
          </cell>
          <cell r="I23">
            <v>16085.834816600585</v>
          </cell>
          <cell r="J23">
            <v>7955.3309060494139</v>
          </cell>
          <cell r="K23">
            <v>13891.402013794534</v>
          </cell>
          <cell r="L23">
            <v>14988.672089782664</v>
          </cell>
          <cell r="M23">
            <v>9914.3992389114737</v>
          </cell>
          <cell r="N23">
            <v>17049.175953359954</v>
          </cell>
          <cell r="O23">
            <v>10517.867921899615</v>
          </cell>
          <cell r="P23">
            <v>10908.246282174201</v>
          </cell>
          <cell r="Q23">
            <v>11774.349284033709</v>
          </cell>
          <cell r="R23">
            <v>11413.927749302864</v>
          </cell>
          <cell r="S23">
            <v>16895.595224036726</v>
          </cell>
          <cell r="T23">
            <v>2986.3816571767834</v>
          </cell>
          <cell r="U23">
            <v>4959.2542080901667</v>
          </cell>
          <cell r="V23">
            <v>4554.6541252390371</v>
          </cell>
          <cell r="W23">
            <v>1811.7260746719758</v>
          </cell>
          <cell r="X23"/>
          <cell r="Y23"/>
          <cell r="Z23">
            <v>198915.59990092431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198915.59990092431</v>
          </cell>
          <cell r="AJ23">
            <v>23291.769931256538</v>
          </cell>
          <cell r="AK23">
            <v>637.85134514340871</v>
          </cell>
          <cell r="AL23">
            <v>26879.01082</v>
          </cell>
          <cell r="AM23"/>
          <cell r="AN23">
            <v>50808.632096399946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392078.28099999996</v>
          </cell>
          <cell r="G24">
            <v>50608.940626725089</v>
          </cell>
          <cell r="H24">
            <v>35163.89683614175</v>
          </cell>
          <cell r="I24">
            <v>31931.649538686524</v>
          </cell>
          <cell r="J24">
            <v>15791.958661299674</v>
          </cell>
          <cell r="K24">
            <v>23762.018217174864</v>
          </cell>
          <cell r="L24">
            <v>25638.959904478943</v>
          </cell>
          <cell r="M24">
            <v>16959.133073351106</v>
          </cell>
          <cell r="N24">
            <v>29163.566729208542</v>
          </cell>
          <cell r="O24">
            <v>17991.399926215858</v>
          </cell>
          <cell r="P24">
            <v>18659.163892676843</v>
          </cell>
          <cell r="Q24">
            <v>20140.68140168699</v>
          </cell>
          <cell r="R24">
            <v>19524.160256763545</v>
          </cell>
          <cell r="S24">
            <v>46961.954625128878</v>
          </cell>
          <cell r="T24">
            <v>8300.7623003497465</v>
          </cell>
          <cell r="U24">
            <v>13784.437186532328</v>
          </cell>
          <cell r="V24">
            <v>12659.835745729202</v>
          </cell>
          <cell r="W24">
            <v>5035.7620778500277</v>
          </cell>
          <cell r="X24"/>
          <cell r="Y24"/>
          <cell r="Z24">
            <v>392078.28099999996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392078.28099999996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605584.62900000007</v>
          </cell>
          <cell r="G25">
            <v>78168.054744961366</v>
          </cell>
          <cell r="H25">
            <v>54312.407627876688</v>
          </cell>
          <cell r="I25">
            <v>49320.039074654851</v>
          </cell>
          <cell r="J25">
            <v>24391.474586898887</v>
          </cell>
          <cell r="K25">
            <v>36701.632514908633</v>
          </cell>
          <cell r="L25">
            <v>39600.663372883333</v>
          </cell>
          <cell r="M25">
            <v>26194.23418250235</v>
          </cell>
          <cell r="N25">
            <v>45044.595923497487</v>
          </cell>
          <cell r="O25">
            <v>27788.622266246006</v>
          </cell>
          <cell r="P25">
            <v>28820.017305158774</v>
          </cell>
          <cell r="Q25">
            <v>31108.295627443385</v>
          </cell>
          <cell r="R25">
            <v>30156.047704230521</v>
          </cell>
          <cell r="S25">
            <v>72535.101399236941</v>
          </cell>
          <cell r="T25">
            <v>12820.944953271943</v>
          </cell>
          <cell r="U25">
            <v>21290.756678205253</v>
          </cell>
          <cell r="V25">
            <v>19553.753178382147</v>
          </cell>
          <cell r="W25">
            <v>7777.9878596414228</v>
          </cell>
          <cell r="X25"/>
          <cell r="Y25"/>
          <cell r="Z25">
            <v>605584.62900000007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605584.62900000007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/>
          <cell r="BI25"/>
          <cell r="BJ25">
            <v>0</v>
          </cell>
          <cell r="BK25"/>
          <cell r="BL25"/>
          <cell r="BM25"/>
          <cell r="BN25"/>
          <cell r="BO25"/>
        </row>
        <row r="26">
          <cell r="F26">
            <v>1174235.6200026786</v>
          </cell>
          <cell r="G26">
            <v>-2850.39937263506</v>
          </cell>
          <cell r="H26">
            <v>-43296.750818870911</v>
          </cell>
          <cell r="I26">
            <v>-23888.845429942143</v>
          </cell>
          <cell r="J26">
            <v>26523.304845752093</v>
          </cell>
          <cell r="K26">
            <v>-16703.859745878071</v>
          </cell>
          <cell r="L26">
            <v>52377.762632854836</v>
          </cell>
          <cell r="M26">
            <v>-42669.719494764962</v>
          </cell>
          <cell r="N26">
            <v>51510.287393934093</v>
          </cell>
          <cell r="O26">
            <v>96056.72788563848</v>
          </cell>
          <cell r="P26">
            <v>18191.433519990314</v>
          </cell>
          <cell r="Q26">
            <v>37610.824686836058</v>
          </cell>
          <cell r="R26">
            <v>96676.348289703034</v>
          </cell>
          <cell r="S26">
            <v>381748.4907515971</v>
          </cell>
          <cell r="T26">
            <v>80200.221089201528</v>
          </cell>
          <cell r="U26">
            <v>228510.93992717224</v>
          </cell>
          <cell r="V26">
            <v>14527.563950649703</v>
          </cell>
          <cell r="W26">
            <v>-9831.4060121633756</v>
          </cell>
          <cell r="X26"/>
          <cell r="Y26"/>
          <cell r="Z26">
            <v>944692.92409907468</v>
          </cell>
          <cell r="AA26">
            <v>43737.339</v>
          </cell>
          <cell r="AB26">
            <v>-529.66499999999996</v>
          </cell>
          <cell r="AC26">
            <v>9100.2199999999993</v>
          </cell>
          <cell r="AD26">
            <v>18860.065999999999</v>
          </cell>
          <cell r="AE26"/>
          <cell r="AF26"/>
          <cell r="AG26"/>
          <cell r="AH26">
            <v>71167.959999999992</v>
          </cell>
          <cell r="AI26">
            <v>1015860.88409907</v>
          </cell>
          <cell r="AJ26">
            <v>53934.357068743455</v>
          </cell>
          <cell r="AK26">
            <v>-83948.514345143412</v>
          </cell>
          <cell r="AL26">
            <v>-119943.69382000009</v>
          </cell>
          <cell r="AM26"/>
          <cell r="AN26">
            <v>-149957.85109640006</v>
          </cell>
          <cell r="AO26">
            <v>44005.329000002384</v>
          </cell>
          <cell r="AP26">
            <v>-855.83600000000001</v>
          </cell>
          <cell r="AQ26"/>
          <cell r="AR26"/>
          <cell r="AS26">
            <v>43149.493000002381</v>
          </cell>
          <cell r="AT26">
            <v>4056.6040000000003</v>
          </cell>
          <cell r="AU26">
            <v>-2025.8600000000006</v>
          </cell>
          <cell r="AV26">
            <v>61674.921000000002</v>
          </cell>
          <cell r="AW26"/>
          <cell r="AX26"/>
          <cell r="AY26"/>
          <cell r="AZ26"/>
          <cell r="BA26">
            <v>63705.665000000008</v>
          </cell>
          <cell r="BB26">
            <v>0</v>
          </cell>
          <cell r="BC26">
            <v>-15898.704999999998</v>
          </cell>
          <cell r="BD26">
            <v>250000</v>
          </cell>
          <cell r="BE26">
            <v>0</v>
          </cell>
          <cell r="BF26">
            <v>-32623.865999999995</v>
          </cell>
          <cell r="BG26">
            <v>0</v>
          </cell>
          <cell r="BH26"/>
          <cell r="BI26"/>
          <cell r="BJ26">
            <v>201477.42900000003</v>
          </cell>
          <cell r="BK26"/>
          <cell r="BL26"/>
          <cell r="BM26"/>
          <cell r="BN26"/>
          <cell r="BO26"/>
        </row>
        <row r="27">
          <cell r="F27">
            <v>1174235.6200026777</v>
          </cell>
          <cell r="G27">
            <v>-2850.3993726350109</v>
          </cell>
          <cell r="H27">
            <v>-43296.750818870911</v>
          </cell>
          <cell r="I27">
            <v>-23888.845429942128</v>
          </cell>
          <cell r="J27">
            <v>26523.304845752096</v>
          </cell>
          <cell r="K27">
            <v>-16703.859745878079</v>
          </cell>
          <cell r="L27">
            <v>52377.762632854843</v>
          </cell>
          <cell r="M27">
            <v>-42669.719494764962</v>
          </cell>
          <cell r="N27">
            <v>51510.28739393413</v>
          </cell>
          <cell r="O27">
            <v>96056.727885638451</v>
          </cell>
          <cell r="P27">
            <v>18191.433519990311</v>
          </cell>
          <cell r="Q27">
            <v>37610.824686836058</v>
          </cell>
          <cell r="R27">
            <v>96676.348289703048</v>
          </cell>
          <cell r="S27">
            <v>381748.4907515971</v>
          </cell>
          <cell r="T27">
            <v>80200.221089201528</v>
          </cell>
          <cell r="U27">
            <v>228510.93992717221</v>
          </cell>
          <cell r="V27">
            <v>14527.563950649715</v>
          </cell>
          <cell r="W27">
            <v>-9831.4060121633756</v>
          </cell>
          <cell r="X27"/>
          <cell r="Y27"/>
          <cell r="Z27">
            <v>944692.92409907503</v>
          </cell>
          <cell r="AA27">
            <v>43737.339</v>
          </cell>
          <cell r="AB27">
            <v>-529.66499999999996</v>
          </cell>
          <cell r="AC27">
            <v>9100.2199999999993</v>
          </cell>
          <cell r="AD27">
            <v>18860.065999999999</v>
          </cell>
          <cell r="AE27"/>
          <cell r="AF27"/>
          <cell r="AG27"/>
          <cell r="AH27">
            <v>71167.959999999992</v>
          </cell>
          <cell r="AI27">
            <v>1015860.884099075</v>
          </cell>
          <cell r="AJ27">
            <v>53934.357068743455</v>
          </cell>
          <cell r="AK27">
            <v>-83948.514345143412</v>
          </cell>
          <cell r="AL27">
            <v>-119943.69382000009</v>
          </cell>
          <cell r="AM27"/>
          <cell r="AN27">
            <v>-149957.85109640006</v>
          </cell>
          <cell r="AO27">
            <v>44005.329000002384</v>
          </cell>
          <cell r="AP27">
            <v>-855.83600000000001</v>
          </cell>
          <cell r="AQ27"/>
          <cell r="AR27"/>
          <cell r="AS27">
            <v>43149.493000002381</v>
          </cell>
          <cell r="AT27">
            <v>4056.6040000000003</v>
          </cell>
          <cell r="AU27">
            <v>-2025.8600000000006</v>
          </cell>
          <cell r="AV27">
            <v>61674.921000000002</v>
          </cell>
          <cell r="AW27"/>
          <cell r="AX27"/>
          <cell r="AY27"/>
          <cell r="AZ27"/>
          <cell r="BA27">
            <v>63705.665000000001</v>
          </cell>
          <cell r="BB27">
            <v>0</v>
          </cell>
          <cell r="BC27">
            <v>-15898.704999999998</v>
          </cell>
          <cell r="BD27">
            <v>250000</v>
          </cell>
          <cell r="BE27">
            <v>0</v>
          </cell>
          <cell r="BF27">
            <v>-32623.865999999998</v>
          </cell>
          <cell r="BG27">
            <v>0</v>
          </cell>
          <cell r="BH27"/>
          <cell r="BI27"/>
          <cell r="BJ27">
            <v>201477.429</v>
          </cell>
          <cell r="BK27"/>
          <cell r="BL27"/>
          <cell r="BM27"/>
          <cell r="BN27"/>
          <cell r="BO27"/>
        </row>
        <row r="28">
          <cell r="F28">
            <v>0</v>
          </cell>
          <cell r="G28">
            <v>-4.9112713895738125E-11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-5.005858838558197E-9</v>
          </cell>
          <cell r="AJ28">
            <v>0</v>
          </cell>
          <cell r="AK28">
            <v>0</v>
          </cell>
          <cell r="AL28">
            <v>0</v>
          </cell>
          <cell r="AM28"/>
          <cell r="AN28">
            <v>0</v>
          </cell>
          <cell r="AO28">
            <v>0</v>
          </cell>
          <cell r="AP28">
            <v>0</v>
          </cell>
          <cell r="AQ28"/>
          <cell r="AR28"/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/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39055</v>
          </cell>
          <cell r="H31">
            <v>26461</v>
          </cell>
          <cell r="I31">
            <v>26270</v>
          </cell>
          <cell r="J31">
            <v>12124</v>
          </cell>
          <cell r="K31">
            <v>16752</v>
          </cell>
          <cell r="L31">
            <v>19663</v>
          </cell>
          <cell r="M31">
            <v>13655</v>
          </cell>
          <cell r="N31">
            <v>21756</v>
          </cell>
          <cell r="O31">
            <v>13908</v>
          </cell>
          <cell r="P31">
            <v>14580</v>
          </cell>
          <cell r="Q31">
            <v>15640</v>
          </cell>
          <cell r="R31">
            <v>14267</v>
          </cell>
          <cell r="S31">
            <v>35142.5</v>
          </cell>
          <cell r="T31">
            <v>5544</v>
          </cell>
          <cell r="U31">
            <v>9023</v>
          </cell>
          <cell r="V31">
            <v>9669.5</v>
          </cell>
          <cell r="W31">
            <v>3047</v>
          </cell>
          <cell r="X31">
            <v>0</v>
          </cell>
          <cell r="Y31">
            <v>0</v>
          </cell>
          <cell r="Z31">
            <v>296557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296557</v>
          </cell>
          <cell r="AJ31">
            <v>20119</v>
          </cell>
          <cell r="AK31">
            <v>1360</v>
          </cell>
          <cell r="AL31">
            <v>38611</v>
          </cell>
          <cell r="AM31"/>
          <cell r="AN31">
            <v>60090</v>
          </cell>
          <cell r="AO31">
            <v>8972.0079999999998</v>
          </cell>
          <cell r="AP31">
            <v>0</v>
          </cell>
          <cell r="AQ31"/>
          <cell r="AR31"/>
          <cell r="AS31">
            <v>8972.0079999999998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/>
          <cell r="BI31"/>
          <cell r="BJ31">
            <v>0</v>
          </cell>
        </row>
        <row r="32">
          <cell r="F32">
            <v>38619550.917000003</v>
          </cell>
          <cell r="G32">
            <v>3682427.3119999999</v>
          </cell>
          <cell r="H32">
            <v>2558609.0619999999</v>
          </cell>
          <cell r="I32">
            <v>2323423.034</v>
          </cell>
          <cell r="J32">
            <v>1149060.6040000001</v>
          </cell>
          <cell r="K32">
            <v>1728981.16</v>
          </cell>
          <cell r="L32">
            <v>1865551.9169999999</v>
          </cell>
          <cell r="M32">
            <v>1233987</v>
          </cell>
          <cell r="N32">
            <v>2122010.7220000001</v>
          </cell>
          <cell r="O32">
            <v>1309097.2</v>
          </cell>
          <cell r="P32">
            <v>1357685.3</v>
          </cell>
          <cell r="Q32">
            <v>1465484.05</v>
          </cell>
          <cell r="R32">
            <v>1420624.5</v>
          </cell>
          <cell r="S32">
            <v>3417063.906</v>
          </cell>
          <cell r="T32">
            <v>603983.277</v>
          </cell>
          <cell r="U32">
            <v>1002988.55</v>
          </cell>
          <cell r="V32">
            <v>921159.86499999999</v>
          </cell>
          <cell r="W32">
            <v>366414.06800000003</v>
          </cell>
          <cell r="X32">
            <v>0</v>
          </cell>
          <cell r="Y32">
            <v>0</v>
          </cell>
          <cell r="Z32">
            <v>28528551.526999999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E32"/>
          <cell r="AF32"/>
          <cell r="AG32"/>
          <cell r="AH32">
            <v>90840</v>
          </cell>
          <cell r="AI32">
            <v>28619391.526999999</v>
          </cell>
          <cell r="AJ32">
            <v>571110</v>
          </cell>
          <cell r="AK32">
            <v>15640</v>
          </cell>
          <cell r="AL32">
            <v>659068.5</v>
          </cell>
          <cell r="AM32"/>
          <cell r="AN32">
            <v>1245818.5</v>
          </cell>
          <cell r="AO32">
            <v>8678685.2690000013</v>
          </cell>
          <cell r="AP32">
            <v>0</v>
          </cell>
          <cell r="AQ32"/>
          <cell r="AR32"/>
          <cell r="AS32">
            <v>8678685.2690000013</v>
          </cell>
          <cell r="AT32">
            <v>5512.5</v>
          </cell>
          <cell r="AU32">
            <v>6650</v>
          </cell>
          <cell r="AV32">
            <v>61674.921000000002</v>
          </cell>
          <cell r="AW32"/>
          <cell r="AX32"/>
          <cell r="AY32"/>
          <cell r="AZ32"/>
          <cell r="BA32">
            <v>73837.421000000002</v>
          </cell>
          <cell r="BB32">
            <v>0</v>
          </cell>
          <cell r="BC32">
            <v>1818.2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/>
          <cell r="BI32"/>
          <cell r="BJ32">
            <v>1818.2</v>
          </cell>
        </row>
        <row r="33">
          <cell r="F33">
            <v>35232878.794999994</v>
          </cell>
          <cell r="G33">
            <v>3450659.6869999999</v>
          </cell>
          <cell r="H33">
            <v>2430424.2290000003</v>
          </cell>
          <cell r="I33">
            <v>2198878.077</v>
          </cell>
          <cell r="J33">
            <v>1035613.307</v>
          </cell>
          <cell r="K33">
            <v>1612813.0209999999</v>
          </cell>
          <cell r="L33">
            <v>1677038.8150000002</v>
          </cell>
          <cell r="M33">
            <v>1181987.8489999999</v>
          </cell>
          <cell r="N33">
            <v>1925192.486</v>
          </cell>
          <cell r="O33">
            <v>1122333.003</v>
          </cell>
          <cell r="P33">
            <v>1231231.7139999999</v>
          </cell>
          <cell r="Q33">
            <v>1325158.1609999998</v>
          </cell>
          <cell r="R33">
            <v>1233725.152</v>
          </cell>
          <cell r="S33">
            <v>2848826.6450000005</v>
          </cell>
          <cell r="T33">
            <v>487443.36199999996</v>
          </cell>
          <cell r="U33">
            <v>722242.53300000005</v>
          </cell>
          <cell r="V33">
            <v>833338.86399999994</v>
          </cell>
          <cell r="W33">
            <v>346578.27599999995</v>
          </cell>
          <cell r="X33">
            <v>0</v>
          </cell>
          <cell r="Y33">
            <v>0</v>
          </cell>
          <cell r="Z33">
            <v>25663485.180999998</v>
          </cell>
          <cell r="AA33">
            <v>6262.6610000000001</v>
          </cell>
          <cell r="AB33">
            <v>0</v>
          </cell>
          <cell r="AC33">
            <v>3399.78</v>
          </cell>
          <cell r="AD33">
            <v>9479.9339999999993</v>
          </cell>
          <cell r="AE33"/>
          <cell r="AF33"/>
          <cell r="AG33"/>
          <cell r="AH33">
            <v>19142.375</v>
          </cell>
          <cell r="AI33">
            <v>25682627.555999998</v>
          </cell>
          <cell r="AJ33">
            <v>493883.87300000002</v>
          </cell>
          <cell r="AK33">
            <v>75932.933999999994</v>
          </cell>
          <cell r="AL33">
            <v>752133.18300000008</v>
          </cell>
          <cell r="AM33"/>
          <cell r="AN33">
            <v>1321949.9900000002</v>
          </cell>
          <cell r="AO33">
            <v>8468169.4929999989</v>
          </cell>
          <cell r="AP33">
            <v>0</v>
          </cell>
          <cell r="AQ33"/>
          <cell r="AR33"/>
          <cell r="AS33">
            <v>8468169.4929999989</v>
          </cell>
          <cell r="AT33">
            <v>1455.896</v>
          </cell>
          <cell r="AU33">
            <v>8675.86</v>
          </cell>
          <cell r="AV33">
            <v>0</v>
          </cell>
          <cell r="AW33"/>
          <cell r="AX33"/>
          <cell r="AY33"/>
          <cell r="AZ33"/>
          <cell r="BA33">
            <v>10131.756000000001</v>
          </cell>
          <cell r="BB33">
            <v>0</v>
          </cell>
          <cell r="BC33">
            <v>0</v>
          </cell>
          <cell r="BD33">
            <v>-250000</v>
          </cell>
          <cell r="BE33">
            <v>0</v>
          </cell>
          <cell r="BF33">
            <v>0</v>
          </cell>
          <cell r="BG33">
            <v>0</v>
          </cell>
          <cell r="BH33"/>
          <cell r="BI33"/>
          <cell r="BJ33">
            <v>-250000</v>
          </cell>
        </row>
        <row r="34">
          <cell r="F34">
            <v>3386672.1220000088</v>
          </cell>
          <cell r="G34">
            <v>231767.625</v>
          </cell>
          <cell r="H34">
            <v>128184.83299999963</v>
          </cell>
          <cell r="I34">
            <v>124544.95699999994</v>
          </cell>
          <cell r="J34">
            <v>113447.29700000002</v>
          </cell>
          <cell r="K34">
            <v>116168.13899999997</v>
          </cell>
          <cell r="L34">
            <v>188513.10199999972</v>
          </cell>
          <cell r="M34">
            <v>51999.151000000071</v>
          </cell>
          <cell r="N34">
            <v>196818.23600000003</v>
          </cell>
          <cell r="O34">
            <v>186764.19699999993</v>
          </cell>
          <cell r="P34">
            <v>126453.58600000013</v>
          </cell>
          <cell r="Q34">
            <v>140325.8890000002</v>
          </cell>
          <cell r="R34">
            <v>186899.348</v>
          </cell>
          <cell r="S34">
            <v>568237.26099999947</v>
          </cell>
          <cell r="T34">
            <v>116539.91500000004</v>
          </cell>
          <cell r="U34">
            <v>280746.01699999999</v>
          </cell>
          <cell r="V34">
            <v>87821.001000000047</v>
          </cell>
          <cell r="W34">
            <v>19835.792000000074</v>
          </cell>
          <cell r="X34">
            <v>0</v>
          </cell>
          <cell r="Y34">
            <v>0</v>
          </cell>
          <cell r="Z34">
            <v>2865066.3460000008</v>
          </cell>
          <cell r="AA34">
            <v>43737.339</v>
          </cell>
          <cell r="AB34">
            <v>0</v>
          </cell>
          <cell r="AC34">
            <v>9100.2199999999993</v>
          </cell>
          <cell r="AD34">
            <v>18860.065999999999</v>
          </cell>
          <cell r="AE34"/>
          <cell r="AF34"/>
          <cell r="AG34"/>
          <cell r="AH34">
            <v>71697.625</v>
          </cell>
          <cell r="AI34">
            <v>2936763.9710000008</v>
          </cell>
          <cell r="AJ34">
            <v>77226.126999999979</v>
          </cell>
          <cell r="AK34">
            <v>-60292.933999999994</v>
          </cell>
          <cell r="AL34">
            <v>-93064.683000000077</v>
          </cell>
          <cell r="AM34"/>
          <cell r="AN34">
            <v>-76131.490000000224</v>
          </cell>
          <cell r="AO34">
            <v>210515.7760000024</v>
          </cell>
          <cell r="AP34">
            <v>0</v>
          </cell>
          <cell r="AQ34"/>
          <cell r="AR34"/>
          <cell r="AS34">
            <v>210515.7760000024</v>
          </cell>
          <cell r="AT34">
            <v>4056.6040000000003</v>
          </cell>
          <cell r="AU34">
            <v>-2025.8600000000006</v>
          </cell>
          <cell r="AV34">
            <v>61674.921000000002</v>
          </cell>
          <cell r="AW34"/>
          <cell r="AX34"/>
          <cell r="AY34"/>
          <cell r="AZ34"/>
          <cell r="BA34">
            <v>63705.665000000001</v>
          </cell>
          <cell r="BB34">
            <v>0</v>
          </cell>
          <cell r="BC34">
            <v>1818.2</v>
          </cell>
          <cell r="BD34">
            <v>250000</v>
          </cell>
          <cell r="BE34">
            <v>0</v>
          </cell>
          <cell r="BF34">
            <v>0</v>
          </cell>
          <cell r="BG34">
            <v>0</v>
          </cell>
          <cell r="BH34"/>
          <cell r="BI34"/>
          <cell r="BJ34">
            <v>251818.2</v>
          </cell>
        </row>
        <row r="35">
          <cell r="F35">
            <v>2212436.5019973242</v>
          </cell>
          <cell r="G35">
            <v>234618.02437263486</v>
          </cell>
          <cell r="H35">
            <v>171481.58381887063</v>
          </cell>
          <cell r="I35">
            <v>148433.80242994198</v>
          </cell>
          <cell r="J35">
            <v>86923.992154247971</v>
          </cell>
          <cell r="K35">
            <v>132871.99874587802</v>
          </cell>
          <cell r="L35">
            <v>136135.33936714494</v>
          </cell>
          <cell r="M35">
            <v>94668.870494764924</v>
          </cell>
          <cell r="N35">
            <v>145307.94860606597</v>
          </cell>
          <cell r="O35">
            <v>90707.469114361476</v>
          </cell>
          <cell r="P35">
            <v>108262.15248000983</v>
          </cell>
          <cell r="Q35">
            <v>102715.06431316408</v>
          </cell>
          <cell r="R35">
            <v>90222.999710296936</v>
          </cell>
          <cell r="S35">
            <v>186488.77024840255</v>
          </cell>
          <cell r="T35">
            <v>36339.693910798473</v>
          </cell>
          <cell r="U35">
            <v>52235.077072827749</v>
          </cell>
          <cell r="V35">
            <v>73293.437049350396</v>
          </cell>
          <cell r="W35">
            <v>29667.198012163426</v>
          </cell>
          <cell r="X35">
            <v>0</v>
          </cell>
          <cell r="Y35">
            <v>0</v>
          </cell>
          <cell r="Z35">
            <v>1920373.4219009243</v>
          </cell>
          <cell r="AA35">
            <v>0</v>
          </cell>
          <cell r="AB35">
            <v>529.66499999999996</v>
          </cell>
          <cell r="AC35">
            <v>0</v>
          </cell>
          <cell r="AD35">
            <v>0</v>
          </cell>
          <cell r="AE35"/>
          <cell r="AF35"/>
          <cell r="AG35"/>
          <cell r="AH35">
            <v>529.66499999999996</v>
          </cell>
          <cell r="AI35">
            <v>1920903.0869009243</v>
          </cell>
          <cell r="AJ35">
            <v>23291.769931256538</v>
          </cell>
          <cell r="AK35">
            <v>23655.580345143408</v>
          </cell>
          <cell r="AL35">
            <v>26879.01082</v>
          </cell>
          <cell r="AM35"/>
          <cell r="AN35">
            <v>73826.361096399938</v>
          </cell>
          <cell r="AO35">
            <v>166510.44700000001</v>
          </cell>
          <cell r="AP35">
            <v>855.83600000000001</v>
          </cell>
          <cell r="AQ35"/>
          <cell r="AR35"/>
          <cell r="AS35">
            <v>167366.28300000002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17716.904999999999</v>
          </cell>
          <cell r="BD35">
            <v>0</v>
          </cell>
          <cell r="BE35">
            <v>0</v>
          </cell>
          <cell r="BF35">
            <v>32623.865999999995</v>
          </cell>
          <cell r="BG35">
            <v>0</v>
          </cell>
          <cell r="BH35"/>
          <cell r="BI35"/>
          <cell r="BJ35">
            <v>50340.770999999993</v>
          </cell>
        </row>
        <row r="36">
          <cell r="F36">
            <v>1174235.6200026846</v>
          </cell>
          <cell r="G36">
            <v>-2850.3993726348563</v>
          </cell>
          <cell r="H36">
            <v>-43296.750818870991</v>
          </cell>
          <cell r="I36">
            <v>-23888.845429942041</v>
          </cell>
          <cell r="J36">
            <v>26523.304845752049</v>
          </cell>
          <cell r="K36">
            <v>-16703.859745878057</v>
          </cell>
          <cell r="L36">
            <v>52377.762632854778</v>
          </cell>
          <cell r="M36">
            <v>-42669.719494764853</v>
          </cell>
          <cell r="N36">
            <v>51510.287393934064</v>
          </cell>
          <cell r="O36">
            <v>96056.727885638451</v>
          </cell>
          <cell r="P36">
            <v>18191.4335199903</v>
          </cell>
          <cell r="Q36">
            <v>37610.824686836117</v>
          </cell>
          <cell r="R36">
            <v>96676.348289703063</v>
          </cell>
          <cell r="S36">
            <v>381748.49075159692</v>
          </cell>
          <cell r="T36">
            <v>80200.221089201572</v>
          </cell>
          <cell r="U36">
            <v>228510.93992717224</v>
          </cell>
          <cell r="V36">
            <v>14527.563950649652</v>
          </cell>
          <cell r="W36">
            <v>-9831.406012163352</v>
          </cell>
          <cell r="X36">
            <v>0</v>
          </cell>
          <cell r="Y36">
            <v>0</v>
          </cell>
          <cell r="Z36">
            <v>944692.92409907654</v>
          </cell>
          <cell r="AA36">
            <v>43737.339</v>
          </cell>
          <cell r="AB36">
            <v>-529.66499999999996</v>
          </cell>
          <cell r="AC36">
            <v>9100.2199999999993</v>
          </cell>
          <cell r="AD36">
            <v>18860.065999999999</v>
          </cell>
          <cell r="AE36"/>
          <cell r="AF36"/>
          <cell r="AG36"/>
          <cell r="AH36">
            <v>71167.960000000006</v>
          </cell>
          <cell r="AI36">
            <v>1015860.8840990765</v>
          </cell>
          <cell r="AJ36">
            <v>53934.35706874344</v>
          </cell>
          <cell r="AK36">
            <v>-83948.514345143398</v>
          </cell>
          <cell r="AL36">
            <v>-119943.69382000007</v>
          </cell>
          <cell r="AM36"/>
          <cell r="AN36">
            <v>-149957.85109640018</v>
          </cell>
          <cell r="AO36">
            <v>44005.329000002384</v>
          </cell>
          <cell r="AP36">
            <v>-855.83600000000001</v>
          </cell>
          <cell r="AQ36"/>
          <cell r="AR36"/>
          <cell r="AS36">
            <v>43149.493000002374</v>
          </cell>
          <cell r="AT36">
            <v>4056.6040000000003</v>
          </cell>
          <cell r="AU36">
            <v>-2025.8600000000006</v>
          </cell>
          <cell r="AV36">
            <v>61674.921000000002</v>
          </cell>
          <cell r="AW36"/>
          <cell r="AX36"/>
          <cell r="AY36"/>
          <cell r="AZ36"/>
          <cell r="BA36">
            <v>63705.665000000001</v>
          </cell>
          <cell r="BB36">
            <v>0</v>
          </cell>
          <cell r="BC36">
            <v>-15898.704999999998</v>
          </cell>
          <cell r="BD36">
            <v>250000</v>
          </cell>
          <cell r="BE36">
            <v>0</v>
          </cell>
          <cell r="BF36">
            <v>-32623.865999999995</v>
          </cell>
          <cell r="BG36">
            <v>0</v>
          </cell>
          <cell r="BH36"/>
          <cell r="BI36"/>
          <cell r="BJ36">
            <v>201477.429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-12792</v>
          </cell>
          <cell r="AK38">
            <v>0</v>
          </cell>
          <cell r="AL38">
            <v>-25763</v>
          </cell>
          <cell r="AM38"/>
          <cell r="AN38">
            <v>-38555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-822340.5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-373128</v>
          </cell>
          <cell r="AK39">
            <v>0</v>
          </cell>
          <cell r="AL39">
            <v>-449212.5</v>
          </cell>
          <cell r="AM39"/>
          <cell r="AN39">
            <v>-822340.5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-822340.50000000012</v>
          </cell>
          <cell r="G40"/>
          <cell r="H40"/>
          <cell r="I40"/>
          <cell r="J40"/>
          <cell r="K40">
            <v>-40468.673000000003</v>
          </cell>
          <cell r="L40">
            <v>50335.392</v>
          </cell>
          <cell r="M40">
            <v>-5145.3450000000003</v>
          </cell>
          <cell r="N40">
            <v>-12255</v>
          </cell>
          <cell r="O40">
            <v>0</v>
          </cell>
          <cell r="P40">
            <v>0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-7533.6260000000029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-7533.6260000000029</v>
          </cell>
          <cell r="AJ40">
            <v>-314224.77100000001</v>
          </cell>
          <cell r="AK40">
            <v>0</v>
          </cell>
          <cell r="AL40">
            <v>-500582.103</v>
          </cell>
          <cell r="AM40"/>
          <cell r="AN40">
            <v>-814806.87400000007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40468.673000000003</v>
          </cell>
          <cell r="L41">
            <v>-50335.392</v>
          </cell>
          <cell r="M41">
            <v>5145.3450000000003</v>
          </cell>
          <cell r="N41">
            <v>12255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7533.6260000000029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7533.6260000000029</v>
          </cell>
          <cell r="AJ41">
            <v>-58903.228999999992</v>
          </cell>
          <cell r="AK41">
            <v>0</v>
          </cell>
          <cell r="AL41">
            <v>51369.603000000003</v>
          </cell>
          <cell r="AM41"/>
          <cell r="AN41">
            <v>-7533.6259999999311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40468.673000000003</v>
          </cell>
          <cell r="L43">
            <v>-50335.392</v>
          </cell>
          <cell r="M43">
            <v>5145.3450000000003</v>
          </cell>
          <cell r="N43">
            <v>12255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7533.6260000000029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7533.6260000000029</v>
          </cell>
          <cell r="AJ43">
            <v>-58903.228999999992</v>
          </cell>
          <cell r="AK43">
            <v>0</v>
          </cell>
          <cell r="AL43">
            <v>51369.603000000003</v>
          </cell>
          <cell r="AM43"/>
          <cell r="AN43">
            <v>-7533.6259999999311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/>
          <cell r="BI43"/>
          <cell r="BJ43">
            <v>0</v>
          </cell>
        </row>
        <row r="45">
          <cell r="F45"/>
          <cell r="G45">
            <v>39055</v>
          </cell>
          <cell r="H45">
            <v>26461</v>
          </cell>
          <cell r="I45">
            <v>26270</v>
          </cell>
          <cell r="J45">
            <v>12124</v>
          </cell>
          <cell r="K45">
            <v>16752</v>
          </cell>
          <cell r="L45">
            <v>19663</v>
          </cell>
          <cell r="M45">
            <v>13655</v>
          </cell>
          <cell r="N45">
            <v>21756</v>
          </cell>
          <cell r="O45">
            <v>13908</v>
          </cell>
          <cell r="P45">
            <v>14580</v>
          </cell>
          <cell r="Q45">
            <v>15640</v>
          </cell>
          <cell r="R45">
            <v>14267</v>
          </cell>
          <cell r="S45">
            <v>35142.5</v>
          </cell>
          <cell r="T45">
            <v>5544</v>
          </cell>
          <cell r="U45">
            <v>9023</v>
          </cell>
          <cell r="V45">
            <v>9669.5</v>
          </cell>
          <cell r="W45">
            <v>3047</v>
          </cell>
          <cell r="X45">
            <v>0</v>
          </cell>
          <cell r="Y45">
            <v>0</v>
          </cell>
          <cell r="Z45">
            <v>296557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296557</v>
          </cell>
          <cell r="AJ45">
            <v>7327</v>
          </cell>
          <cell r="AK45">
            <v>1360</v>
          </cell>
          <cell r="AL45">
            <v>12848</v>
          </cell>
          <cell r="AM45"/>
          <cell r="AN45">
            <v>21535</v>
          </cell>
          <cell r="AO45">
            <v>8972.0079999999998</v>
          </cell>
          <cell r="AP45">
            <v>0</v>
          </cell>
          <cell r="AQ45"/>
          <cell r="AR45"/>
          <cell r="AS45">
            <v>8972.0079999999998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/>
          <cell r="BI45"/>
          <cell r="BJ45">
            <v>0</v>
          </cell>
        </row>
        <row r="46">
          <cell r="F46">
            <v>37797210.417000003</v>
          </cell>
          <cell r="G46">
            <v>3682427.3119999999</v>
          </cell>
          <cell r="H46">
            <v>2558609.0619999999</v>
          </cell>
          <cell r="I46">
            <v>2323423.034</v>
          </cell>
          <cell r="J46">
            <v>1149060.6040000001</v>
          </cell>
          <cell r="K46">
            <v>1728981.16</v>
          </cell>
          <cell r="L46">
            <v>1865551.9169999999</v>
          </cell>
          <cell r="M46">
            <v>1233987</v>
          </cell>
          <cell r="N46">
            <v>2122010.7220000001</v>
          </cell>
          <cell r="O46">
            <v>1309097.2</v>
          </cell>
          <cell r="P46">
            <v>1357685.3</v>
          </cell>
          <cell r="Q46">
            <v>1465484.05</v>
          </cell>
          <cell r="R46">
            <v>1420624.5</v>
          </cell>
          <cell r="S46">
            <v>3417063.906</v>
          </cell>
          <cell r="T46">
            <v>603983.277</v>
          </cell>
          <cell r="U46">
            <v>1002988.55</v>
          </cell>
          <cell r="V46">
            <v>921159.86499999999</v>
          </cell>
          <cell r="W46">
            <v>366414.06800000003</v>
          </cell>
          <cell r="X46">
            <v>0</v>
          </cell>
          <cell r="Y46">
            <v>0</v>
          </cell>
          <cell r="Z46">
            <v>28528551.526999999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E46"/>
          <cell r="AF46"/>
          <cell r="AG46"/>
          <cell r="AH46">
            <v>90840</v>
          </cell>
          <cell r="AI46">
            <v>28619391.526999999</v>
          </cell>
          <cell r="AJ46">
            <v>197982</v>
          </cell>
          <cell r="AK46">
            <v>15640</v>
          </cell>
          <cell r="AL46">
            <v>209856</v>
          </cell>
          <cell r="AM46"/>
          <cell r="AN46">
            <v>423478</v>
          </cell>
          <cell r="AO46">
            <v>8678685.2690000013</v>
          </cell>
          <cell r="AP46">
            <v>0</v>
          </cell>
          <cell r="AQ46"/>
          <cell r="AR46"/>
          <cell r="AS46">
            <v>8678685.2690000013</v>
          </cell>
          <cell r="AT46">
            <v>5512.5</v>
          </cell>
          <cell r="AU46">
            <v>6650</v>
          </cell>
          <cell r="AV46">
            <v>61674.921000000002</v>
          </cell>
          <cell r="AW46"/>
          <cell r="AX46"/>
          <cell r="AY46"/>
          <cell r="AZ46"/>
          <cell r="BA46">
            <v>73837.421000000002</v>
          </cell>
          <cell r="BB46">
            <v>0</v>
          </cell>
          <cell r="BC46">
            <v>1818.2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/>
          <cell r="BI46"/>
          <cell r="BJ46">
            <v>1818.2</v>
          </cell>
        </row>
        <row r="47">
          <cell r="F47">
            <v>34410538.294999994</v>
          </cell>
          <cell r="G47">
            <v>3450659.6869999999</v>
          </cell>
          <cell r="H47">
            <v>2430424.2290000003</v>
          </cell>
          <cell r="I47">
            <v>2198878.077</v>
          </cell>
          <cell r="J47">
            <v>1035613.307</v>
          </cell>
          <cell r="K47">
            <v>1572344.348</v>
          </cell>
          <cell r="L47">
            <v>1727374.2070000002</v>
          </cell>
          <cell r="M47">
            <v>1176842.504</v>
          </cell>
          <cell r="N47">
            <v>1912937.486</v>
          </cell>
          <cell r="O47">
            <v>1122333.003</v>
          </cell>
          <cell r="P47">
            <v>1231231.7139999999</v>
          </cell>
          <cell r="Q47">
            <v>1325158.1609999998</v>
          </cell>
          <cell r="R47">
            <v>1233725.152</v>
          </cell>
          <cell r="S47">
            <v>2848826.6450000005</v>
          </cell>
          <cell r="T47">
            <v>487443.36199999996</v>
          </cell>
          <cell r="U47">
            <v>722242.53300000005</v>
          </cell>
          <cell r="V47">
            <v>833338.86399999994</v>
          </cell>
          <cell r="W47">
            <v>346578.27599999995</v>
          </cell>
          <cell r="X47">
            <v>0</v>
          </cell>
          <cell r="Y47">
            <v>0</v>
          </cell>
          <cell r="Z47">
            <v>25655951.555</v>
          </cell>
          <cell r="AA47">
            <v>6262.6610000000001</v>
          </cell>
          <cell r="AB47">
            <v>0</v>
          </cell>
          <cell r="AC47">
            <v>3399.78</v>
          </cell>
          <cell r="AD47">
            <v>9479.9339999999993</v>
          </cell>
          <cell r="AE47"/>
          <cell r="AF47"/>
          <cell r="AG47"/>
          <cell r="AH47">
            <v>19142.375</v>
          </cell>
          <cell r="AI47">
            <v>25675093.93</v>
          </cell>
          <cell r="AJ47">
            <v>179659.10200000001</v>
          </cell>
          <cell r="AK47">
            <v>75932.933999999994</v>
          </cell>
          <cell r="AL47">
            <v>251551.08000000007</v>
          </cell>
          <cell r="AM47"/>
          <cell r="AN47">
            <v>507143.1160000001</v>
          </cell>
          <cell r="AO47">
            <v>8468169.4929999989</v>
          </cell>
          <cell r="AP47">
            <v>0</v>
          </cell>
          <cell r="AQ47"/>
          <cell r="AR47"/>
          <cell r="AS47">
            <v>8468169.4929999989</v>
          </cell>
          <cell r="AT47">
            <v>1455.896</v>
          </cell>
          <cell r="AU47">
            <v>8675.86</v>
          </cell>
          <cell r="AV47">
            <v>0</v>
          </cell>
          <cell r="AW47"/>
          <cell r="AX47"/>
          <cell r="AY47"/>
          <cell r="AZ47"/>
          <cell r="BA47">
            <v>10131.756000000001</v>
          </cell>
          <cell r="BB47">
            <v>0</v>
          </cell>
          <cell r="BC47">
            <v>0</v>
          </cell>
          <cell r="BD47">
            <v>-250000</v>
          </cell>
          <cell r="BE47">
            <v>0</v>
          </cell>
          <cell r="BF47">
            <v>0</v>
          </cell>
          <cell r="BG47">
            <v>0</v>
          </cell>
          <cell r="BH47"/>
          <cell r="BI47"/>
          <cell r="BJ47">
            <v>-250000</v>
          </cell>
        </row>
        <row r="48">
          <cell r="F48">
            <v>3386672.1220000088</v>
          </cell>
          <cell r="G48">
            <v>231767.625</v>
          </cell>
          <cell r="H48">
            <v>128184.83299999963</v>
          </cell>
          <cell r="I48">
            <v>124544.95699999994</v>
          </cell>
          <cell r="J48">
            <v>113447.29700000002</v>
          </cell>
          <cell r="K48">
            <v>156636.81199999992</v>
          </cell>
          <cell r="L48">
            <v>138177.70999999973</v>
          </cell>
          <cell r="M48">
            <v>57144.496000000043</v>
          </cell>
          <cell r="N48">
            <v>209073.23600000003</v>
          </cell>
          <cell r="O48">
            <v>186764.19699999993</v>
          </cell>
          <cell r="P48">
            <v>126453.58600000013</v>
          </cell>
          <cell r="Q48">
            <v>140325.8890000002</v>
          </cell>
          <cell r="R48">
            <v>186899.348</v>
          </cell>
          <cell r="S48">
            <v>568237.26099999947</v>
          </cell>
          <cell r="T48">
            <v>116539.91500000004</v>
          </cell>
          <cell r="U48">
            <v>280746.01699999999</v>
          </cell>
          <cell r="V48">
            <v>87821.001000000047</v>
          </cell>
          <cell r="W48">
            <v>19835.792000000074</v>
          </cell>
          <cell r="X48">
            <v>0</v>
          </cell>
          <cell r="Y48">
            <v>0</v>
          </cell>
          <cell r="Z48">
            <v>2872599.9719999991</v>
          </cell>
          <cell r="AA48">
            <v>43737.339</v>
          </cell>
          <cell r="AB48">
            <v>0</v>
          </cell>
          <cell r="AC48">
            <v>9100.2199999999993</v>
          </cell>
          <cell r="AD48">
            <v>18860.065999999999</v>
          </cell>
          <cell r="AE48"/>
          <cell r="AF48"/>
          <cell r="AG48"/>
          <cell r="AH48">
            <v>71697.625</v>
          </cell>
          <cell r="AI48">
            <v>2944297.5969999991</v>
          </cell>
          <cell r="AJ48">
            <v>18322.897999999986</v>
          </cell>
          <cell r="AK48">
            <v>-60292.933999999994</v>
          </cell>
          <cell r="AL48">
            <v>-41695.080000000075</v>
          </cell>
          <cell r="AM48"/>
          <cell r="AN48">
            <v>-83665.116000000096</v>
          </cell>
          <cell r="AO48">
            <v>210515.7760000024</v>
          </cell>
          <cell r="AP48">
            <v>0</v>
          </cell>
          <cell r="AQ48"/>
          <cell r="AR48"/>
          <cell r="AS48">
            <v>210515.7760000024</v>
          </cell>
          <cell r="AT48">
            <v>4056.6040000000003</v>
          </cell>
          <cell r="AU48">
            <v>-2025.8600000000006</v>
          </cell>
          <cell r="AV48">
            <v>61674.921000000002</v>
          </cell>
          <cell r="AW48"/>
          <cell r="AX48"/>
          <cell r="AY48"/>
          <cell r="AZ48"/>
          <cell r="BA48">
            <v>63705.665000000001</v>
          </cell>
          <cell r="BB48">
            <v>0</v>
          </cell>
          <cell r="BC48">
            <v>1818.2</v>
          </cell>
          <cell r="BD48">
            <v>250000</v>
          </cell>
          <cell r="BE48">
            <v>0</v>
          </cell>
          <cell r="BF48">
            <v>0</v>
          </cell>
          <cell r="BG48">
            <v>0</v>
          </cell>
          <cell r="BH48"/>
          <cell r="BI48"/>
          <cell r="BJ48">
            <v>251818.2</v>
          </cell>
        </row>
        <row r="49">
          <cell r="F49">
            <v>2212436.5019973242</v>
          </cell>
          <cell r="G49">
            <v>234618.02437263486</v>
          </cell>
          <cell r="H49">
            <v>171481.58381887063</v>
          </cell>
          <cell r="I49">
            <v>148433.80242994198</v>
          </cell>
          <cell r="J49">
            <v>86923.992154247971</v>
          </cell>
          <cell r="K49">
            <v>132871.99874587802</v>
          </cell>
          <cell r="L49">
            <v>136135.33936714494</v>
          </cell>
          <cell r="M49">
            <v>94668.870494764924</v>
          </cell>
          <cell r="N49">
            <v>145307.94860606597</v>
          </cell>
          <cell r="O49">
            <v>90707.469114361476</v>
          </cell>
          <cell r="P49">
            <v>108262.15248000983</v>
          </cell>
          <cell r="Q49">
            <v>102715.06431316408</v>
          </cell>
          <cell r="R49">
            <v>90222.999710296936</v>
          </cell>
          <cell r="S49">
            <v>186488.77024840255</v>
          </cell>
          <cell r="T49">
            <v>36339.693910798473</v>
          </cell>
          <cell r="U49">
            <v>52235.077072827749</v>
          </cell>
          <cell r="V49">
            <v>73293.437049350396</v>
          </cell>
          <cell r="W49">
            <v>29667.198012163426</v>
          </cell>
          <cell r="X49">
            <v>0</v>
          </cell>
          <cell r="Y49">
            <v>0</v>
          </cell>
          <cell r="Z49">
            <v>1920373.4219009243</v>
          </cell>
          <cell r="AA49">
            <v>0</v>
          </cell>
          <cell r="AB49">
            <v>529.66499999999996</v>
          </cell>
          <cell r="AC49">
            <v>0</v>
          </cell>
          <cell r="AD49">
            <v>0</v>
          </cell>
          <cell r="AE49"/>
          <cell r="AF49"/>
          <cell r="AG49"/>
          <cell r="AH49">
            <v>529.66499999999996</v>
          </cell>
          <cell r="AI49">
            <v>1920903.0869009243</v>
          </cell>
          <cell r="AJ49">
            <v>23291.769931256538</v>
          </cell>
          <cell r="AK49">
            <v>23655.580345143408</v>
          </cell>
          <cell r="AL49">
            <v>26879.01082</v>
          </cell>
          <cell r="AM49"/>
          <cell r="AN49">
            <v>73826.361096399938</v>
          </cell>
          <cell r="AO49">
            <v>166510.44700000001</v>
          </cell>
          <cell r="AP49">
            <v>855.83600000000001</v>
          </cell>
          <cell r="AQ49"/>
          <cell r="AR49"/>
          <cell r="AS49">
            <v>167366.28300000002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17716.904999999999</v>
          </cell>
          <cell r="BD49">
            <v>0</v>
          </cell>
          <cell r="BE49">
            <v>0</v>
          </cell>
          <cell r="BF49">
            <v>32623.865999999995</v>
          </cell>
          <cell r="BG49">
            <v>0</v>
          </cell>
          <cell r="BH49"/>
          <cell r="BI49"/>
          <cell r="BJ49">
            <v>50340.770999999993</v>
          </cell>
        </row>
        <row r="50">
          <cell r="F50">
            <v>1174235.6200026846</v>
          </cell>
          <cell r="G50">
            <v>-2850.3993726348563</v>
          </cell>
          <cell r="H50">
            <v>-43296.750818870991</v>
          </cell>
          <cell r="I50">
            <v>-23888.845429942041</v>
          </cell>
          <cell r="J50">
            <v>26523.304845752049</v>
          </cell>
          <cell r="K50">
            <v>23764.813254121895</v>
          </cell>
          <cell r="L50">
            <v>2042.3706328547851</v>
          </cell>
          <cell r="M50">
            <v>-37524.374494764881</v>
          </cell>
          <cell r="N50">
            <v>63765.287393934064</v>
          </cell>
          <cell r="O50">
            <v>96056.727885638451</v>
          </cell>
          <cell r="P50">
            <v>18191.4335199903</v>
          </cell>
          <cell r="Q50">
            <v>37610.824686836117</v>
          </cell>
          <cell r="R50">
            <v>96676.348289703063</v>
          </cell>
          <cell r="S50">
            <v>381748.49075159692</v>
          </cell>
          <cell r="T50">
            <v>80200.221089201572</v>
          </cell>
          <cell r="U50">
            <v>228510.93992717224</v>
          </cell>
          <cell r="V50">
            <v>14527.563950649652</v>
          </cell>
          <cell r="W50">
            <v>-9831.406012163352</v>
          </cell>
          <cell r="X50">
            <v>0</v>
          </cell>
          <cell r="Y50">
            <v>0</v>
          </cell>
          <cell r="Z50">
            <v>952226.55009907484</v>
          </cell>
          <cell r="AA50">
            <v>43737.339</v>
          </cell>
          <cell r="AB50">
            <v>-529.66499999999996</v>
          </cell>
          <cell r="AC50">
            <v>9100.2199999999993</v>
          </cell>
          <cell r="AD50">
            <v>18860.065999999999</v>
          </cell>
          <cell r="AE50"/>
          <cell r="AF50"/>
          <cell r="AG50"/>
          <cell r="AH50">
            <v>71167.960000000006</v>
          </cell>
          <cell r="AI50">
            <v>1023394.5100990748</v>
          </cell>
          <cell r="AJ50">
            <v>-4968.8719312565518</v>
          </cell>
          <cell r="AK50">
            <v>-83948.514345143398</v>
          </cell>
          <cell r="AL50">
            <v>-68574.09082000007</v>
          </cell>
          <cell r="AM50"/>
          <cell r="AN50">
            <v>-157491.47709640005</v>
          </cell>
          <cell r="AO50">
            <v>44005.329000002384</v>
          </cell>
          <cell r="AP50">
            <v>-855.83600000000001</v>
          </cell>
          <cell r="AQ50"/>
          <cell r="AR50"/>
          <cell r="AS50">
            <v>43149.493000002374</v>
          </cell>
          <cell r="AT50">
            <v>4056.6040000000003</v>
          </cell>
          <cell r="AU50">
            <v>-2025.8600000000006</v>
          </cell>
          <cell r="AV50">
            <v>61674.921000000002</v>
          </cell>
          <cell r="AW50"/>
          <cell r="AX50"/>
          <cell r="AY50"/>
          <cell r="AZ50"/>
          <cell r="BA50">
            <v>63705.665000000001</v>
          </cell>
          <cell r="BB50">
            <v>0</v>
          </cell>
          <cell r="BC50">
            <v>-15898.704999999998</v>
          </cell>
          <cell r="BD50">
            <v>250000</v>
          </cell>
          <cell r="BE50">
            <v>0</v>
          </cell>
          <cell r="BF50">
            <v>-32623.865999999995</v>
          </cell>
          <cell r="BG50">
            <v>0</v>
          </cell>
          <cell r="BH50"/>
          <cell r="BI50"/>
          <cell r="BJ50">
            <v>201477.429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22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H6"/>
          <cell r="BI6"/>
          <cell r="BJ6" t="str">
            <v>기타 계</v>
          </cell>
          <cell r="BK6"/>
        </row>
        <row r="7">
          <cell r="F7"/>
          <cell r="G7">
            <v>373671</v>
          </cell>
          <cell r="H7">
            <v>267075</v>
          </cell>
          <cell r="I7">
            <v>243700</v>
          </cell>
          <cell r="J7">
            <v>114721.5</v>
          </cell>
          <cell r="K7">
            <v>197242.5</v>
          </cell>
          <cell r="L7">
            <v>207172</v>
          </cell>
          <cell r="M7">
            <v>134283</v>
          </cell>
          <cell r="N7">
            <v>197189.5</v>
          </cell>
          <cell r="O7">
            <v>126689</v>
          </cell>
          <cell r="P7">
            <v>170649.5</v>
          </cell>
          <cell r="Q7">
            <v>155883</v>
          </cell>
          <cell r="R7">
            <v>108774</v>
          </cell>
          <cell r="S7">
            <v>267061.5</v>
          </cell>
          <cell r="T7">
            <v>55917</v>
          </cell>
          <cell r="U7">
            <v>85586.5</v>
          </cell>
          <cell r="V7">
            <v>85150</v>
          </cell>
          <cell r="W7">
            <v>34505.5</v>
          </cell>
          <cell r="X7"/>
          <cell r="Y7"/>
          <cell r="Z7">
            <v>2825270.5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2825270.5</v>
          </cell>
          <cell r="AJ7">
            <v>189826</v>
          </cell>
          <cell r="AK7">
            <v>169890</v>
          </cell>
          <cell r="AL7">
            <v>354589</v>
          </cell>
          <cell r="AM7"/>
          <cell r="AN7">
            <v>714305</v>
          </cell>
          <cell r="AO7">
            <v>86939.351999999999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386965912.08099991</v>
          </cell>
          <cell r="G8">
            <v>37039865.332000002</v>
          </cell>
          <cell r="H8">
            <v>26610639.729999997</v>
          </cell>
          <cell r="I8">
            <v>23555595.879000001</v>
          </cell>
          <cell r="J8">
            <v>11196539.796000002</v>
          </cell>
          <cell r="K8">
            <v>21243855.801000003</v>
          </cell>
          <cell r="L8">
            <v>20831233.748</v>
          </cell>
          <cell r="M8">
            <v>12777261.899999999</v>
          </cell>
          <cell r="N8">
            <v>19917169.072000001</v>
          </cell>
          <cell r="O8">
            <v>11748749.418</v>
          </cell>
          <cell r="P8">
            <v>17191816.300000001</v>
          </cell>
          <cell r="Q8">
            <v>15602772.502</v>
          </cell>
          <cell r="R8">
            <v>11248414.042000001</v>
          </cell>
          <cell r="S8">
            <v>26913525.007000003</v>
          </cell>
          <cell r="T8">
            <v>6269292.6669999994</v>
          </cell>
          <cell r="U8">
            <v>9687700.0860000011</v>
          </cell>
          <cell r="V8">
            <v>8192708.8020000001</v>
          </cell>
          <cell r="W8">
            <v>4295720.6310000001</v>
          </cell>
          <cell r="X8"/>
          <cell r="Y8"/>
          <cell r="Z8">
            <v>284322860.713</v>
          </cell>
          <cell r="AA8">
            <v>500000</v>
          </cell>
          <cell r="AB8">
            <v>0</v>
          </cell>
          <cell r="AC8">
            <v>125000</v>
          </cell>
          <cell r="AD8">
            <v>283400</v>
          </cell>
          <cell r="AE8"/>
          <cell r="AF8"/>
          <cell r="AG8"/>
          <cell r="AH8">
            <v>908400</v>
          </cell>
          <cell r="AI8">
            <v>285231260.713</v>
          </cell>
          <cell r="AJ8">
            <v>5582873.5800000001</v>
          </cell>
          <cell r="AK8">
            <v>2387739</v>
          </cell>
          <cell r="AL8">
            <v>6404991.5</v>
          </cell>
          <cell r="AM8"/>
          <cell r="AN8">
            <v>14375604.08</v>
          </cell>
          <cell r="AO8">
            <v>86611076.326000005</v>
          </cell>
          <cell r="AP8">
            <v>0</v>
          </cell>
          <cell r="AQ8"/>
          <cell r="AR8"/>
          <cell r="AS8">
            <v>86611076.326000005</v>
          </cell>
          <cell r="AT8">
            <v>54075</v>
          </cell>
          <cell r="AU8">
            <v>62500</v>
          </cell>
          <cell r="AV8">
            <v>613911.56200000003</v>
          </cell>
          <cell r="AW8"/>
          <cell r="AX8"/>
          <cell r="AY8"/>
          <cell r="AZ8"/>
          <cell r="BA8">
            <v>730486.56200000003</v>
          </cell>
          <cell r="BB8">
            <v>0</v>
          </cell>
          <cell r="BC8">
            <v>17484.400000000001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/>
          <cell r="BI8"/>
          <cell r="BJ8">
            <v>17484.400000000001</v>
          </cell>
          <cell r="BK8"/>
          <cell r="BL8"/>
          <cell r="BM8"/>
          <cell r="BN8"/>
          <cell r="BO8"/>
        </row>
        <row r="9">
          <cell r="F9"/>
          <cell r="G9">
            <v>99124.270633792839</v>
          </cell>
          <cell r="H9">
            <v>99637.329326968073</v>
          </cell>
          <cell r="I9">
            <v>96658.169384489127</v>
          </cell>
          <cell r="J9">
            <v>97597.571475268385</v>
          </cell>
          <cell r="K9">
            <v>107704.25137077457</v>
          </cell>
          <cell r="L9">
            <v>100550.43030911512</v>
          </cell>
          <cell r="M9">
            <v>95151.745939545581</v>
          </cell>
          <cell r="N9">
            <v>101005.2212313536</v>
          </cell>
          <cell r="O9">
            <v>92736.9338932346</v>
          </cell>
          <cell r="P9">
            <v>100743.43200536774</v>
          </cell>
          <cell r="Q9">
            <v>100092.84208027816</v>
          </cell>
          <cell r="R9">
            <v>103410.8706308493</v>
          </cell>
          <cell r="S9">
            <v>100776.50656122281</v>
          </cell>
          <cell r="T9">
            <v>112117.82940787238</v>
          </cell>
          <cell r="U9">
            <v>113191.91795435028</v>
          </cell>
          <cell r="V9">
            <v>96215.018226658838</v>
          </cell>
          <cell r="W9">
            <v>124493.79464143398</v>
          </cell>
          <cell r="X9"/>
          <cell r="Y9"/>
          <cell r="Z9">
            <v>100635.62434570424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100957.1510809319</v>
          </cell>
          <cell r="AJ9">
            <v>29410.478964946848</v>
          </cell>
          <cell r="AK9">
            <v>14054.617693801871</v>
          </cell>
          <cell r="AL9">
            <v>18063.142116647727</v>
          </cell>
          <cell r="AM9"/>
          <cell r="AN9"/>
          <cell r="AO9">
            <v>996224.08418687095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340234466.53463995</v>
          </cell>
          <cell r="G10">
            <v>32521986.976120003</v>
          </cell>
          <cell r="H10">
            <v>23964435.008469999</v>
          </cell>
          <cell r="I10">
            <v>21182803.16567</v>
          </cell>
          <cell r="J10">
            <v>9720549.3292700015</v>
          </cell>
          <cell r="K10">
            <v>17913848.362180002</v>
          </cell>
          <cell r="L10">
            <v>17647142.86084</v>
          </cell>
          <cell r="M10">
            <v>11507507.464509999</v>
          </cell>
          <cell r="N10">
            <v>17382456.93316</v>
          </cell>
          <cell r="O10">
            <v>10266323.357499998</v>
          </cell>
          <cell r="P10">
            <v>13976392.035179999</v>
          </cell>
          <cell r="Q10">
            <v>12856323.8715</v>
          </cell>
          <cell r="R10">
            <v>9594002.0290300008</v>
          </cell>
          <cell r="S10">
            <v>22238623.948229998</v>
          </cell>
          <cell r="T10">
            <v>4858627.1411600001</v>
          </cell>
          <cell r="U10">
            <v>6775789.1276299991</v>
          </cell>
          <cell r="V10">
            <v>7094021.9432399999</v>
          </cell>
          <cell r="W10">
            <v>3704727.5647800001</v>
          </cell>
          <cell r="X10"/>
          <cell r="Y10"/>
          <cell r="Z10">
            <v>243205561.11846995</v>
          </cell>
          <cell r="AA10">
            <v>41584.901000000005</v>
          </cell>
          <cell r="AB10">
            <v>0</v>
          </cell>
          <cell r="AC10">
            <v>76471.161999999997</v>
          </cell>
          <cell r="AD10">
            <v>98405.131999999998</v>
          </cell>
          <cell r="AE10"/>
          <cell r="AF10"/>
          <cell r="AG10"/>
          <cell r="AH10">
            <v>216461.19500000001</v>
          </cell>
          <cell r="AI10">
            <v>243422022.31346995</v>
          </cell>
          <cell r="AJ10">
            <v>4715820.8250099998</v>
          </cell>
          <cell r="AK10">
            <v>2113004.9087899998</v>
          </cell>
          <cell r="AL10">
            <v>5945608.2673699986</v>
          </cell>
          <cell r="AM10"/>
          <cell r="AN10">
            <v>12774434.001169998</v>
          </cell>
          <cell r="AO10">
            <v>84700153.649000004</v>
          </cell>
          <cell r="AP10">
            <v>0</v>
          </cell>
          <cell r="AQ10"/>
          <cell r="AR10"/>
          <cell r="AS10">
            <v>84700153.649000004</v>
          </cell>
          <cell r="AT10">
            <v>1325.0609999999999</v>
          </cell>
          <cell r="AU10">
            <v>1808.1019999999996</v>
          </cell>
          <cell r="AV10">
            <v>0</v>
          </cell>
          <cell r="AW10"/>
          <cell r="AX10"/>
          <cell r="AY10"/>
          <cell r="AZ10"/>
          <cell r="BA10">
            <v>3133.1629999999996</v>
          </cell>
          <cell r="BB10">
            <v>0</v>
          </cell>
          <cell r="BC10">
            <v>0</v>
          </cell>
          <cell r="BD10">
            <v>-750000</v>
          </cell>
          <cell r="BE10">
            <v>0</v>
          </cell>
          <cell r="BF10">
            <v>0</v>
          </cell>
          <cell r="BG10">
            <v>84723.40800000001</v>
          </cell>
          <cell r="BH10"/>
          <cell r="BI10"/>
          <cell r="BJ10">
            <v>-665276.59199999995</v>
          </cell>
          <cell r="BK10"/>
          <cell r="BL10"/>
          <cell r="BM10"/>
          <cell r="BN10"/>
          <cell r="BO10"/>
        </row>
        <row r="11">
          <cell r="F11"/>
          <cell r="G11">
            <v>87033.746199517758</v>
          </cell>
          <cell r="H11">
            <v>89729.233393129267</v>
          </cell>
          <cell r="I11">
            <v>86921.637938736152</v>
          </cell>
          <cell r="J11">
            <v>84731.714014112455</v>
          </cell>
          <cell r="K11">
            <v>90821.44244866092</v>
          </cell>
          <cell r="L11">
            <v>85181.119363813646</v>
          </cell>
          <cell r="M11">
            <v>85695.936674858312</v>
          </cell>
          <cell r="N11">
            <v>88151.026972328647</v>
          </cell>
          <cell r="O11">
            <v>81035.633381745836</v>
          </cell>
          <cell r="P11">
            <v>81901.160186112465</v>
          </cell>
          <cell r="Q11">
            <v>82474.188150728442</v>
          </cell>
          <cell r="R11">
            <v>88201.243210969536</v>
          </cell>
          <cell r="S11">
            <v>83271.545873253912</v>
          </cell>
          <cell r="T11">
            <v>86889.982315932546</v>
          </cell>
          <cell r="U11">
            <v>79168.900791947322</v>
          </cell>
          <cell r="V11">
            <v>83312.060402113915</v>
          </cell>
          <cell r="W11">
            <v>107366.29130950139</v>
          </cell>
          <cell r="X11"/>
          <cell r="Y11"/>
          <cell r="Z11">
            <v>86082.221549571972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86158.837645269698</v>
          </cell>
          <cell r="AJ11">
            <v>24842.860435398732</v>
          </cell>
          <cell r="AK11">
            <v>12437.488426570133</v>
          </cell>
          <cell r="AL11">
            <v>16767.604938026838</v>
          </cell>
          <cell r="AM11"/>
          <cell r="AN11"/>
          <cell r="AO11">
            <v>974244.13341613137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46731445.546359956</v>
          </cell>
          <cell r="G12">
            <v>4517878.3558799997</v>
          </cell>
          <cell r="H12">
            <v>2646204.7215299979</v>
          </cell>
          <cell r="I12">
            <v>2372792.7133300006</v>
          </cell>
          <cell r="J12">
            <v>1475990.4667300005</v>
          </cell>
          <cell r="K12">
            <v>3330007.4388200007</v>
          </cell>
          <cell r="L12">
            <v>3184090.8871599995</v>
          </cell>
          <cell r="M12">
            <v>1269754.4354899991</v>
          </cell>
          <cell r="N12">
            <v>2534712.1388400011</v>
          </cell>
          <cell r="O12">
            <v>1482426.0605000015</v>
          </cell>
          <cell r="P12">
            <v>3215424.264820002</v>
          </cell>
          <cell r="Q12">
            <v>2746448.6305</v>
          </cell>
          <cell r="R12">
            <v>1654412.0129700005</v>
          </cell>
          <cell r="S12">
            <v>4674901.0587700047</v>
          </cell>
          <cell r="T12">
            <v>1410665.5258399993</v>
          </cell>
          <cell r="U12">
            <v>2911910.958370002</v>
          </cell>
          <cell r="V12">
            <v>1098686.8587600002</v>
          </cell>
          <cell r="W12">
            <v>590993.06621999992</v>
          </cell>
          <cell r="X12"/>
          <cell r="Y12"/>
          <cell r="Z12">
            <v>41117299.594530001</v>
          </cell>
          <cell r="AA12">
            <v>458415.09899999999</v>
          </cell>
          <cell r="AB12">
            <v>0</v>
          </cell>
          <cell r="AC12">
            <v>48528.838000000003</v>
          </cell>
          <cell r="AD12">
            <v>184994.86800000002</v>
          </cell>
          <cell r="AE12"/>
          <cell r="AF12"/>
          <cell r="AG12"/>
          <cell r="AH12">
            <v>691938.80499999993</v>
          </cell>
          <cell r="AI12">
            <v>41809238.399530053</v>
          </cell>
          <cell r="AJ12">
            <v>867052.75499000028</v>
          </cell>
          <cell r="AK12">
            <v>274734.09121000022</v>
          </cell>
          <cell r="AL12">
            <v>459383.23263000138</v>
          </cell>
          <cell r="AM12"/>
          <cell r="AN12">
            <v>1601170.0788300019</v>
          </cell>
          <cell r="AO12">
            <v>1910922.6770000011</v>
          </cell>
          <cell r="AP12">
            <v>0</v>
          </cell>
          <cell r="AQ12"/>
          <cell r="AR12"/>
          <cell r="AS12">
            <v>1910922.6770000011</v>
          </cell>
          <cell r="AT12">
            <v>52749.938999999998</v>
          </cell>
          <cell r="AU12">
            <v>60691.898000000001</v>
          </cell>
          <cell r="AV12">
            <v>613911.56200000003</v>
          </cell>
          <cell r="AW12"/>
          <cell r="AX12"/>
          <cell r="AY12"/>
          <cell r="AZ12"/>
          <cell r="BA12">
            <v>727353.39899999998</v>
          </cell>
          <cell r="BB12">
            <v>0</v>
          </cell>
          <cell r="BC12">
            <v>17484.400000000001</v>
          </cell>
          <cell r="BD12">
            <v>750000</v>
          </cell>
          <cell r="BE12">
            <v>0</v>
          </cell>
          <cell r="BF12">
            <v>0</v>
          </cell>
          <cell r="BG12">
            <v>-84723.40800000001</v>
          </cell>
          <cell r="BH12"/>
          <cell r="BI12"/>
          <cell r="BJ12">
            <v>682760.99199999997</v>
          </cell>
          <cell r="BK12"/>
          <cell r="BL12"/>
          <cell r="BM12"/>
          <cell r="BN12"/>
          <cell r="BO12"/>
        </row>
        <row r="13">
          <cell r="F13">
            <v>8429302.8090000004</v>
          </cell>
          <cell r="G13">
            <v>727060.80699999991</v>
          </cell>
          <cell r="H13">
            <v>640233.30500000005</v>
          </cell>
          <cell r="I13">
            <v>490202.897</v>
          </cell>
          <cell r="J13">
            <v>351096.45799999998</v>
          </cell>
          <cell r="K13">
            <v>478843.929</v>
          </cell>
          <cell r="L13">
            <v>517452.82699999993</v>
          </cell>
          <cell r="M13">
            <v>381557.45400000003</v>
          </cell>
          <cell r="N13">
            <v>477887.57699999999</v>
          </cell>
          <cell r="O13">
            <v>286733.78100000002</v>
          </cell>
          <cell r="P13">
            <v>463069.23599999998</v>
          </cell>
          <cell r="Q13">
            <v>382931.78900000005</v>
          </cell>
          <cell r="R13">
            <v>284397.05199999997</v>
          </cell>
          <cell r="S13">
            <v>469870.63300000003</v>
          </cell>
          <cell r="T13">
            <v>119906.912</v>
          </cell>
          <cell r="U13">
            <v>117163.465</v>
          </cell>
          <cell r="V13">
            <v>324824.89899999998</v>
          </cell>
          <cell r="W13">
            <v>148780.87700000001</v>
          </cell>
          <cell r="X13"/>
          <cell r="Y13"/>
          <cell r="Z13">
            <v>6662013.898000001</v>
          </cell>
          <cell r="AA13">
            <v>2089.6999999999998</v>
          </cell>
          <cell r="AB13">
            <v>2462.5320000000002</v>
          </cell>
          <cell r="AC13">
            <v>275.39999999999998</v>
          </cell>
          <cell r="AD13">
            <v>0</v>
          </cell>
          <cell r="AE13"/>
          <cell r="AF13"/>
          <cell r="AG13"/>
          <cell r="AH13">
            <v>4827.6319999999996</v>
          </cell>
          <cell r="AI13">
            <v>6666841.5300000012</v>
          </cell>
          <cell r="AJ13">
            <v>7689.9989999999998</v>
          </cell>
          <cell r="AK13">
            <v>148102.79399999999</v>
          </cell>
          <cell r="AL13">
            <v>0</v>
          </cell>
          <cell r="AM13"/>
          <cell r="AN13">
            <v>155792.79300000001</v>
          </cell>
          <cell r="AO13">
            <v>1372964.9670000002</v>
          </cell>
          <cell r="AP13">
            <v>0</v>
          </cell>
          <cell r="AQ13"/>
          <cell r="AR13"/>
          <cell r="AS13">
            <v>1372964.9670000002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233703.51899999997</v>
          </cell>
          <cell r="BG13">
            <v>0</v>
          </cell>
          <cell r="BH13"/>
          <cell r="BI13"/>
          <cell r="BJ13">
            <v>233703.51899999997</v>
          </cell>
          <cell r="BK13"/>
          <cell r="BL13"/>
          <cell r="BM13"/>
          <cell r="BN13"/>
          <cell r="BO13"/>
        </row>
        <row r="14">
          <cell r="F14">
            <v>5468189.1530000009</v>
          </cell>
          <cell r="G14">
            <v>484354.18599999993</v>
          </cell>
          <cell r="H14">
            <v>422001.39800000004</v>
          </cell>
          <cell r="I14">
            <v>338256.66499999998</v>
          </cell>
          <cell r="J14">
            <v>253253.58799999999</v>
          </cell>
          <cell r="K14">
            <v>323700.69799999997</v>
          </cell>
          <cell r="L14">
            <v>350621.14999999997</v>
          </cell>
          <cell r="M14">
            <v>266127.82400000002</v>
          </cell>
          <cell r="N14">
            <v>340886.353</v>
          </cell>
          <cell r="O14">
            <v>198248.66100000002</v>
          </cell>
          <cell r="P14">
            <v>328489.15499999997</v>
          </cell>
          <cell r="Q14">
            <v>266414.58600000001</v>
          </cell>
          <cell r="R14">
            <v>191770.05499999996</v>
          </cell>
          <cell r="S14">
            <v>317507.755</v>
          </cell>
          <cell r="T14">
            <v>73779.87</v>
          </cell>
          <cell r="U14">
            <v>73285.16</v>
          </cell>
          <cell r="V14">
            <v>222179.92299999998</v>
          </cell>
          <cell r="W14">
            <v>106930.93399999999</v>
          </cell>
          <cell r="X14"/>
          <cell r="Y14"/>
          <cell r="Z14">
            <v>4557807.9610000011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4557807.9610000011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910366.17099999997</v>
          </cell>
          <cell r="AP14">
            <v>0</v>
          </cell>
          <cell r="AQ14"/>
          <cell r="AR14"/>
          <cell r="AS14">
            <v>910366.17099999997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15.021000000000001</v>
          </cell>
          <cell r="BG14">
            <v>0</v>
          </cell>
          <cell r="BH14"/>
          <cell r="BI14"/>
          <cell r="BJ14">
            <v>15.021000000000001</v>
          </cell>
          <cell r="BK14"/>
          <cell r="BL14"/>
          <cell r="BM14"/>
          <cell r="BN14"/>
          <cell r="BO14"/>
        </row>
        <row r="15">
          <cell r="F15">
            <v>2961113.6560000004</v>
          </cell>
          <cell r="G15">
            <v>242706.62099999996</v>
          </cell>
          <cell r="H15">
            <v>218231.90700000004</v>
          </cell>
          <cell r="I15">
            <v>151946.23199999999</v>
          </cell>
          <cell r="J15">
            <v>97842.87</v>
          </cell>
          <cell r="K15">
            <v>155143.231</v>
          </cell>
          <cell r="L15">
            <v>166831.677</v>
          </cell>
          <cell r="M15">
            <v>115429.63</v>
          </cell>
          <cell r="N15">
            <v>137001.22399999999</v>
          </cell>
          <cell r="O15">
            <v>88485.119999999995</v>
          </cell>
          <cell r="P15">
            <v>134580.08100000001</v>
          </cell>
          <cell r="Q15">
            <v>116517.20300000002</v>
          </cell>
          <cell r="R15">
            <v>92626.997000000003</v>
          </cell>
          <cell r="S15">
            <v>152362.87800000003</v>
          </cell>
          <cell r="T15">
            <v>46127.042000000001</v>
          </cell>
          <cell r="U15">
            <v>43878.305</v>
          </cell>
          <cell r="V15">
            <v>102644.97600000002</v>
          </cell>
          <cell r="W15">
            <v>41849.943000000007</v>
          </cell>
          <cell r="X15"/>
          <cell r="Y15"/>
          <cell r="Z15">
            <v>2104205.9369999999</v>
          </cell>
          <cell r="AA15">
            <v>2089.6999999999998</v>
          </cell>
          <cell r="AB15">
            <v>2462.5320000000002</v>
          </cell>
          <cell r="AC15">
            <v>275.39999999999998</v>
          </cell>
          <cell r="AD15">
            <v>0</v>
          </cell>
          <cell r="AE15"/>
          <cell r="AF15"/>
          <cell r="AG15"/>
          <cell r="AH15">
            <v>4827.6319999999996</v>
          </cell>
          <cell r="AI15">
            <v>2109033.5690000001</v>
          </cell>
          <cell r="AJ15">
            <v>7689.9989999999998</v>
          </cell>
          <cell r="AK15">
            <v>148102.79399999999</v>
          </cell>
          <cell r="AL15">
            <v>0</v>
          </cell>
          <cell r="AM15"/>
          <cell r="AN15">
            <v>155792.79300000001</v>
          </cell>
          <cell r="AO15">
            <v>462598.79600000009</v>
          </cell>
          <cell r="AP15">
            <v>0</v>
          </cell>
          <cell r="AQ15"/>
          <cell r="AR15"/>
          <cell r="AS15">
            <v>462598.79600000009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233688.49799999996</v>
          </cell>
          <cell r="BG15">
            <v>0</v>
          </cell>
          <cell r="BH15"/>
          <cell r="BI15"/>
          <cell r="BJ15">
            <v>233688.49799999996</v>
          </cell>
          <cell r="BK15"/>
          <cell r="BL15"/>
          <cell r="BM15"/>
          <cell r="BN15"/>
          <cell r="BO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/>
          <cell r="BI16"/>
          <cell r="BJ16">
            <v>0</v>
          </cell>
          <cell r="BK16"/>
          <cell r="BL16"/>
          <cell r="BM16"/>
          <cell r="BN16"/>
          <cell r="BO16"/>
        </row>
        <row r="17">
          <cell r="F17">
            <v>38302142.737359956</v>
          </cell>
          <cell r="G17">
            <v>3790817.5488799997</v>
          </cell>
          <cell r="H17">
            <v>2005971.4165299977</v>
          </cell>
          <cell r="I17">
            <v>1882589.8163300008</v>
          </cell>
          <cell r="J17">
            <v>1124894.0087300004</v>
          </cell>
          <cell r="K17">
            <v>2851163.5098200007</v>
          </cell>
          <cell r="L17">
            <v>2666638.0601599994</v>
          </cell>
          <cell r="M17">
            <v>888196.9814899991</v>
          </cell>
          <cell r="N17">
            <v>2056824.561840001</v>
          </cell>
          <cell r="O17">
            <v>1195692.2795000016</v>
          </cell>
          <cell r="P17">
            <v>2752355.028820002</v>
          </cell>
          <cell r="Q17">
            <v>2363516.8415000001</v>
          </cell>
          <cell r="R17">
            <v>1370014.9609700006</v>
          </cell>
          <cell r="S17">
            <v>4205030.4257700043</v>
          </cell>
          <cell r="T17">
            <v>1290758.6138399993</v>
          </cell>
          <cell r="U17">
            <v>2794747.4933700021</v>
          </cell>
          <cell r="V17">
            <v>773861.95976000023</v>
          </cell>
          <cell r="W17">
            <v>442212.18921999994</v>
          </cell>
          <cell r="X17"/>
          <cell r="Y17"/>
          <cell r="Z17">
            <v>34455285.696529999</v>
          </cell>
          <cell r="AA17">
            <v>456325.39899999998</v>
          </cell>
          <cell r="AB17">
            <v>-2462.5320000000002</v>
          </cell>
          <cell r="AC17">
            <v>48253.438000000002</v>
          </cell>
          <cell r="AD17">
            <v>184994.86800000002</v>
          </cell>
          <cell r="AE17"/>
          <cell r="AF17"/>
          <cell r="AG17"/>
          <cell r="AH17">
            <v>687111.17299999995</v>
          </cell>
          <cell r="AI17">
            <v>35142396.869530052</v>
          </cell>
          <cell r="AJ17">
            <v>859362.75599000033</v>
          </cell>
          <cell r="AK17">
            <v>126631.29721000022</v>
          </cell>
          <cell r="AL17">
            <v>459383.23263000138</v>
          </cell>
          <cell r="AM17"/>
          <cell r="AN17">
            <v>1445377.2858300018</v>
          </cell>
          <cell r="AO17">
            <v>537957.71000000089</v>
          </cell>
          <cell r="AP17">
            <v>0</v>
          </cell>
          <cell r="AQ17"/>
          <cell r="AR17"/>
          <cell r="AS17">
            <v>537957.71000000089</v>
          </cell>
          <cell r="AT17">
            <v>52749.938999999998</v>
          </cell>
          <cell r="AU17">
            <v>60691.898000000001</v>
          </cell>
          <cell r="AV17">
            <v>613911.56200000003</v>
          </cell>
          <cell r="AW17"/>
          <cell r="AX17"/>
          <cell r="AY17"/>
          <cell r="AZ17"/>
          <cell r="BA17">
            <v>727353.39899999998</v>
          </cell>
          <cell r="BB17">
            <v>0</v>
          </cell>
          <cell r="BC17">
            <v>17484.400000000001</v>
          </cell>
          <cell r="BD17">
            <v>750000</v>
          </cell>
          <cell r="BE17">
            <v>0</v>
          </cell>
          <cell r="BF17">
            <v>-233703.51899999997</v>
          </cell>
          <cell r="BG17">
            <v>-84723.40800000001</v>
          </cell>
          <cell r="BH17"/>
          <cell r="BI17"/>
          <cell r="BJ17">
            <v>449057.473</v>
          </cell>
          <cell r="BK17"/>
          <cell r="BL17"/>
          <cell r="BM17"/>
          <cell r="BN17"/>
          <cell r="BO17"/>
        </row>
        <row r="18">
          <cell r="F18">
            <v>5645591.8173500001</v>
          </cell>
          <cell r="G18">
            <v>295666.35687999998</v>
          </cell>
          <cell r="H18">
            <v>343609.75151999999</v>
          </cell>
          <cell r="I18">
            <v>188621.15233000001</v>
          </cell>
          <cell r="J18">
            <v>189094.74672999998</v>
          </cell>
          <cell r="K18">
            <v>800258.00182000012</v>
          </cell>
          <cell r="L18">
            <v>376033.97415999998</v>
          </cell>
          <cell r="M18">
            <v>168141.32348999998</v>
          </cell>
          <cell r="N18">
            <v>313805.98284000001</v>
          </cell>
          <cell r="O18">
            <v>109537.3495</v>
          </cell>
          <cell r="P18">
            <v>313584.97582000005</v>
          </cell>
          <cell r="Q18">
            <v>146812.99049999999</v>
          </cell>
          <cell r="R18">
            <v>131825.12796999997</v>
          </cell>
          <cell r="S18">
            <v>322363.44677000004</v>
          </cell>
          <cell r="T18">
            <v>57747.523840000002</v>
          </cell>
          <cell r="U18">
            <v>104124.79437</v>
          </cell>
          <cell r="V18">
            <v>208744.75876000003</v>
          </cell>
          <cell r="W18">
            <v>112176.70322</v>
          </cell>
          <cell r="X18"/>
          <cell r="Y18"/>
          <cell r="Z18">
            <v>4182148.9605199997</v>
          </cell>
          <cell r="AA18">
            <v>55618.507999999994</v>
          </cell>
          <cell r="AB18">
            <v>3536.7200000000003</v>
          </cell>
          <cell r="AC18">
            <v>0</v>
          </cell>
          <cell r="AD18">
            <v>0</v>
          </cell>
          <cell r="AE18"/>
          <cell r="AF18"/>
          <cell r="AG18"/>
          <cell r="AH18">
            <v>59155.227999999996</v>
          </cell>
          <cell r="AI18">
            <v>4241304.1885200003</v>
          </cell>
          <cell r="AJ18">
            <v>328591.33399000001</v>
          </cell>
          <cell r="AK18">
            <v>117269.23921</v>
          </cell>
          <cell r="AL18">
            <v>556338.31263000006</v>
          </cell>
          <cell r="AM18"/>
          <cell r="AN18">
            <v>1002198.88583</v>
          </cell>
          <cell r="AO18">
            <v>54454.010999999999</v>
          </cell>
          <cell r="AP18">
            <v>8558.36</v>
          </cell>
          <cell r="AQ18"/>
          <cell r="AR18"/>
          <cell r="AS18">
            <v>63012.370999999999</v>
          </cell>
          <cell r="AT18">
            <v>13128.92</v>
          </cell>
          <cell r="AU18">
            <v>47117.248</v>
          </cell>
          <cell r="AV18">
            <v>0</v>
          </cell>
          <cell r="AW18"/>
          <cell r="AX18"/>
          <cell r="AY18"/>
          <cell r="AZ18"/>
          <cell r="BA18">
            <v>60246.167999999998</v>
          </cell>
          <cell r="BB18">
            <v>0</v>
          </cell>
          <cell r="BC18">
            <v>140389.45399999997</v>
          </cell>
          <cell r="BD18">
            <v>0</v>
          </cell>
          <cell r="BE18">
            <v>0</v>
          </cell>
          <cell r="BF18">
            <v>138440.75</v>
          </cell>
          <cell r="BG18">
            <v>0</v>
          </cell>
          <cell r="BH18"/>
          <cell r="BI18"/>
          <cell r="BJ18">
            <v>278830.20399999997</v>
          </cell>
          <cell r="BK18"/>
          <cell r="BL18"/>
          <cell r="BM18"/>
          <cell r="BN18"/>
          <cell r="BO18"/>
        </row>
        <row r="19">
          <cell r="F19">
            <v>5080984.9013499999</v>
          </cell>
          <cell r="G19">
            <v>272390.15687999997</v>
          </cell>
          <cell r="H19">
            <v>324158.41752000002</v>
          </cell>
          <cell r="I19">
            <v>172315.05133000002</v>
          </cell>
          <cell r="J19">
            <v>177174.87472999998</v>
          </cell>
          <cell r="K19">
            <v>781497.35382000008</v>
          </cell>
          <cell r="L19">
            <v>360389.96616000001</v>
          </cell>
          <cell r="M19">
            <v>156205.34148999999</v>
          </cell>
          <cell r="N19">
            <v>298172.94484000001</v>
          </cell>
          <cell r="O19">
            <v>102036.9975</v>
          </cell>
          <cell r="P19">
            <v>301397.32382000005</v>
          </cell>
          <cell r="Q19">
            <v>134759.11849999998</v>
          </cell>
          <cell r="R19">
            <v>120803.58196999998</v>
          </cell>
          <cell r="S19">
            <v>306481.44877000002</v>
          </cell>
          <cell r="T19">
            <v>54043.527840000002</v>
          </cell>
          <cell r="U19">
            <v>99696.104370000001</v>
          </cell>
          <cell r="V19">
            <v>197476.12276000003</v>
          </cell>
          <cell r="W19">
            <v>103923.00722</v>
          </cell>
          <cell r="X19"/>
          <cell r="Y19"/>
          <cell r="Z19">
            <v>3962921.3395200004</v>
          </cell>
          <cell r="AA19">
            <v>55618.507999999994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>
            <v>55618.507999999994</v>
          </cell>
          <cell r="AI19">
            <v>4018539.8475200003</v>
          </cell>
          <cell r="AJ19">
            <v>328591.33399000001</v>
          </cell>
          <cell r="AK19">
            <v>117269.23921</v>
          </cell>
          <cell r="AL19">
            <v>556338.31263000006</v>
          </cell>
          <cell r="AM19"/>
          <cell r="AN19">
            <v>1002198.88583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13128.92</v>
          </cell>
          <cell r="AU19">
            <v>47117.248</v>
          </cell>
          <cell r="AV19">
            <v>0</v>
          </cell>
          <cell r="AW19"/>
          <cell r="AX19"/>
          <cell r="AY19"/>
          <cell r="AZ19"/>
          <cell r="BA19">
            <v>60246.167999999998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564606.91599999997</v>
          </cell>
          <cell r="G20">
            <v>23276.199999999997</v>
          </cell>
          <cell r="H20">
            <v>19451.333999999999</v>
          </cell>
          <cell r="I20">
            <v>16306.101000000001</v>
          </cell>
          <cell r="J20">
            <v>11919.872000000001</v>
          </cell>
          <cell r="K20">
            <v>18760.648000000001</v>
          </cell>
          <cell r="L20">
            <v>15644.007999999998</v>
          </cell>
          <cell r="M20">
            <v>11935.981999999998</v>
          </cell>
          <cell r="N20">
            <v>15633.038</v>
          </cell>
          <cell r="O20">
            <v>7500.351999999999</v>
          </cell>
          <cell r="P20">
            <v>12187.651999999998</v>
          </cell>
          <cell r="Q20">
            <v>12053.872000000001</v>
          </cell>
          <cell r="R20">
            <v>11021.546</v>
          </cell>
          <cell r="S20">
            <v>15881.998000000003</v>
          </cell>
          <cell r="T20">
            <v>3703.9959999999996</v>
          </cell>
          <cell r="U20">
            <v>4428.6900000000005</v>
          </cell>
          <cell r="V20">
            <v>11268.635999999999</v>
          </cell>
          <cell r="W20">
            <v>8253.6959999999999</v>
          </cell>
          <cell r="X20"/>
          <cell r="Y20"/>
          <cell r="Z20">
            <v>219227.62100000004</v>
          </cell>
          <cell r="AA20">
            <v>0</v>
          </cell>
          <cell r="AB20">
            <v>3536.7200000000003</v>
          </cell>
          <cell r="AC20">
            <v>0</v>
          </cell>
          <cell r="AD20">
            <v>0</v>
          </cell>
          <cell r="AE20"/>
          <cell r="AF20"/>
          <cell r="AG20"/>
          <cell r="AH20">
            <v>3536.7200000000003</v>
          </cell>
          <cell r="AI20">
            <v>222764.34100000004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54454.010999999999</v>
          </cell>
          <cell r="AP20">
            <v>8558.36</v>
          </cell>
          <cell r="AQ20"/>
          <cell r="AR20"/>
          <cell r="AS20">
            <v>63012.370999999999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140389.45399999997</v>
          </cell>
          <cell r="BD20">
            <v>0</v>
          </cell>
          <cell r="BE20">
            <v>0</v>
          </cell>
          <cell r="BF20">
            <v>138440.75</v>
          </cell>
          <cell r="BG20">
            <v>0</v>
          </cell>
          <cell r="BH20"/>
          <cell r="BI20"/>
          <cell r="BJ20">
            <v>278830.20399999997</v>
          </cell>
          <cell r="BK20"/>
          <cell r="BL20"/>
          <cell r="BM20"/>
          <cell r="BN20"/>
          <cell r="BO20"/>
        </row>
        <row r="21">
          <cell r="F21">
            <v>32656550.920009956</v>
          </cell>
          <cell r="G21">
            <v>3495151.1919999998</v>
          </cell>
          <cell r="H21">
            <v>1662361.6650099978</v>
          </cell>
          <cell r="I21">
            <v>1693968.6640000008</v>
          </cell>
          <cell r="J21">
            <v>935799.26200000034</v>
          </cell>
          <cell r="K21">
            <v>2050905.5080000006</v>
          </cell>
          <cell r="L21">
            <v>2290604.0859999992</v>
          </cell>
          <cell r="M21">
            <v>720055.65799999912</v>
          </cell>
          <cell r="N21">
            <v>1743018.5790000011</v>
          </cell>
          <cell r="O21">
            <v>1086154.9300000016</v>
          </cell>
          <cell r="P21">
            <v>2438770.0530000022</v>
          </cell>
          <cell r="Q21">
            <v>2216703.8510000003</v>
          </cell>
          <cell r="R21">
            <v>1238189.8330000006</v>
          </cell>
          <cell r="S21">
            <v>3882666.979000004</v>
          </cell>
          <cell r="T21">
            <v>1233011.0899999994</v>
          </cell>
          <cell r="U21">
            <v>2690622.6990000024</v>
          </cell>
          <cell r="V21">
            <v>565117.20100000023</v>
          </cell>
          <cell r="W21">
            <v>330035.48599999992</v>
          </cell>
          <cell r="X21"/>
          <cell r="Y21"/>
          <cell r="Z21">
            <v>30273136.73601</v>
          </cell>
          <cell r="AA21">
            <v>400706.891</v>
          </cell>
          <cell r="AB21">
            <v>-5999.2520000000004</v>
          </cell>
          <cell r="AC21">
            <v>48253.438000000002</v>
          </cell>
          <cell r="AD21">
            <v>184994.86800000002</v>
          </cell>
          <cell r="AE21"/>
          <cell r="AF21"/>
          <cell r="AG21"/>
          <cell r="AH21">
            <v>627955.94499999995</v>
          </cell>
          <cell r="AI21">
            <v>30901092.681010053</v>
          </cell>
          <cell r="AJ21">
            <v>530771.42200000025</v>
          </cell>
          <cell r="AK21">
            <v>9362.0580000002228</v>
          </cell>
          <cell r="AL21">
            <v>-96955.079999998678</v>
          </cell>
          <cell r="AM21"/>
          <cell r="AN21">
            <v>443178.40000000177</v>
          </cell>
          <cell r="AO21">
            <v>483503.6990000009</v>
          </cell>
          <cell r="AP21">
            <v>-8558.36</v>
          </cell>
          <cell r="AQ21"/>
          <cell r="AR21"/>
          <cell r="AS21">
            <v>474945.33900000091</v>
          </cell>
          <cell r="AT21">
            <v>39621.019</v>
          </cell>
          <cell r="AU21">
            <v>13574.650000000001</v>
          </cell>
          <cell r="AV21">
            <v>613911.56200000003</v>
          </cell>
          <cell r="AW21"/>
          <cell r="AX21"/>
          <cell r="AY21"/>
          <cell r="AZ21"/>
          <cell r="BA21">
            <v>667107.23100000003</v>
          </cell>
          <cell r="BB21">
            <v>0</v>
          </cell>
          <cell r="BC21">
            <v>-122905.05399999997</v>
          </cell>
          <cell r="BD21">
            <v>750000</v>
          </cell>
          <cell r="BE21">
            <v>0</v>
          </cell>
          <cell r="BF21">
            <v>-372144.26899999997</v>
          </cell>
          <cell r="BG21">
            <v>-84723.40800000001</v>
          </cell>
          <cell r="BH21"/>
          <cell r="BI21"/>
          <cell r="BJ21">
            <v>170227.26900000003</v>
          </cell>
          <cell r="BK21"/>
          <cell r="BL21"/>
          <cell r="BM21"/>
          <cell r="BN21"/>
          <cell r="BO21"/>
        </row>
        <row r="22">
          <cell r="F22">
            <v>15109450.148995761</v>
          </cell>
          <cell r="G22">
            <v>1828078.712643648</v>
          </cell>
          <cell r="H22">
            <v>1317137.8397221835</v>
          </cell>
          <cell r="I22">
            <v>1182608.1885761265</v>
          </cell>
          <cell r="J22">
            <v>535526.88046262925</v>
          </cell>
          <cell r="K22">
            <v>1060778.1550713575</v>
          </cell>
          <cell r="L22">
            <v>1053581.543346534</v>
          </cell>
          <cell r="M22">
            <v>640037.3205535158</v>
          </cell>
          <cell r="N22">
            <v>998508.74485517945</v>
          </cell>
          <cell r="O22">
            <v>590662.52331371116</v>
          </cell>
          <cell r="P22">
            <v>876720.92619042727</v>
          </cell>
          <cell r="Q22">
            <v>785067.8618163761</v>
          </cell>
          <cell r="R22">
            <v>580846.04776745406</v>
          </cell>
          <cell r="S22">
            <v>1282363.4892179449</v>
          </cell>
          <cell r="T22">
            <v>298412.56149608997</v>
          </cell>
          <cell r="U22">
            <v>466896.08837494347</v>
          </cell>
          <cell r="V22">
            <v>383057.23486234259</v>
          </cell>
          <cell r="W22">
            <v>208133.04498794657</v>
          </cell>
          <cell r="X22"/>
          <cell r="Y22"/>
          <cell r="Z22">
            <v>14088417.163258407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14088417.163258407</v>
          </cell>
          <cell r="AJ22">
            <v>171616.70264398423</v>
          </cell>
          <cell r="AK22">
            <v>65935.582403368331</v>
          </cell>
          <cell r="AL22">
            <v>209621.36768999998</v>
          </cell>
          <cell r="AM22"/>
          <cell r="AN22">
            <v>447173.65273735253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573859.33299999998</v>
          </cell>
          <cell r="BF22">
            <v>0</v>
          </cell>
          <cell r="BG22">
            <v>0</v>
          </cell>
          <cell r="BH22"/>
          <cell r="BI22"/>
          <cell r="BJ22">
            <v>573859.33299999998</v>
          </cell>
          <cell r="BK22"/>
          <cell r="BL22"/>
          <cell r="BM22"/>
          <cell r="BN22"/>
          <cell r="BO22"/>
        </row>
        <row r="23">
          <cell r="F23">
            <v>2436266.4349957639</v>
          </cell>
          <cell r="G23">
            <v>258821.18207821081</v>
          </cell>
          <cell r="H23">
            <v>184797.0640730919</v>
          </cell>
          <cell r="I23">
            <v>163813.30165176737</v>
          </cell>
          <cell r="J23">
            <v>75527.325708236196</v>
          </cell>
          <cell r="K23">
            <v>166053.65526590199</v>
          </cell>
          <cell r="L23">
            <v>161721.87529819721</v>
          </cell>
          <cell r="M23">
            <v>100858.00719070713</v>
          </cell>
          <cell r="N23">
            <v>156447.47683229245</v>
          </cell>
          <cell r="O23">
            <v>93063.001549827968</v>
          </cell>
          <cell r="P23">
            <v>134944.24599119026</v>
          </cell>
          <cell r="Q23">
            <v>122180.88405864143</v>
          </cell>
          <cell r="R23">
            <v>89274.972861765069</v>
          </cell>
          <cell r="S23">
            <v>136777.50412575333</v>
          </cell>
          <cell r="T23">
            <v>31835.972158659402</v>
          </cell>
          <cell r="U23">
            <v>49327.894433774585</v>
          </cell>
          <cell r="V23">
            <v>41954.773129777459</v>
          </cell>
          <cell r="W23">
            <v>21693.64585061658</v>
          </cell>
          <cell r="X23"/>
          <cell r="Y23"/>
          <cell r="Z23">
            <v>1989092.7822584112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1989092.7822584112</v>
          </cell>
          <cell r="AJ23">
            <v>171616.70264398423</v>
          </cell>
          <cell r="AK23">
            <v>65935.582403368331</v>
          </cell>
          <cell r="AL23">
            <v>209621.36768999998</v>
          </cell>
          <cell r="AM23"/>
          <cell r="AN23">
            <v>447173.65273735253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5288813.8959999979</v>
          </cell>
          <cell r="G24">
            <v>677432.82556072657</v>
          </cell>
          <cell r="H24">
            <v>496273.28480435919</v>
          </cell>
          <cell r="I24">
            <v>455342.37222194596</v>
          </cell>
          <cell r="J24">
            <v>195939.0020804659</v>
          </cell>
          <cell r="K24">
            <v>385368.78787313326</v>
          </cell>
          <cell r="L24">
            <v>393541.14501018607</v>
          </cell>
          <cell r="M24">
            <v>229858.42693558571</v>
          </cell>
          <cell r="N24">
            <v>364192.65697730076</v>
          </cell>
          <cell r="O24">
            <v>214957.45195484156</v>
          </cell>
          <cell r="P24">
            <v>328481.90153174027</v>
          </cell>
          <cell r="Q24">
            <v>290082.78018633532</v>
          </cell>
          <cell r="R24">
            <v>222290.84863791286</v>
          </cell>
          <cell r="S24">
            <v>504009.80573050142</v>
          </cell>
          <cell r="T24">
            <v>116806.00190279997</v>
          </cell>
          <cell r="U24">
            <v>185412.75263535045</v>
          </cell>
          <cell r="V24">
            <v>144480.71929531722</v>
          </cell>
          <cell r="W24">
            <v>84343.132661496667</v>
          </cell>
          <cell r="X24"/>
          <cell r="Y24"/>
          <cell r="Z24">
            <v>5288813.8959999979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5288813.8959999979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7384369.817999999</v>
          </cell>
          <cell r="G25">
            <v>891824.7050047107</v>
          </cell>
          <cell r="H25">
            <v>636067.4908447325</v>
          </cell>
          <cell r="I25">
            <v>563452.514702413</v>
          </cell>
          <cell r="J25">
            <v>264060.55267392716</v>
          </cell>
          <cell r="K25">
            <v>509355.71193232219</v>
          </cell>
          <cell r="L25">
            <v>498318.5230381508</v>
          </cell>
          <cell r="M25">
            <v>309320.88642722293</v>
          </cell>
          <cell r="N25">
            <v>477868.61104558618</v>
          </cell>
          <cell r="O25">
            <v>282642.06980904168</v>
          </cell>
          <cell r="P25">
            <v>413294.77866749669</v>
          </cell>
          <cell r="Q25">
            <v>372804.19757139933</v>
          </cell>
          <cell r="R25">
            <v>269280.2262677761</v>
          </cell>
          <cell r="S25">
            <v>641576.17936169007</v>
          </cell>
          <cell r="T25">
            <v>149770.58743463061</v>
          </cell>
          <cell r="U25">
            <v>232155.44130581847</v>
          </cell>
          <cell r="V25">
            <v>196621.74243724789</v>
          </cell>
          <cell r="W25">
            <v>102096.26647583333</v>
          </cell>
          <cell r="X25"/>
          <cell r="Y25"/>
          <cell r="Z25">
            <v>6810510.4849999994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6810510.4849999994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573859.33299999998</v>
          </cell>
          <cell r="BF25">
            <v>0</v>
          </cell>
          <cell r="BG25">
            <v>0</v>
          </cell>
          <cell r="BH25"/>
          <cell r="BI25"/>
          <cell r="BJ25">
            <v>573859.33299999998</v>
          </cell>
          <cell r="BK25"/>
          <cell r="BL25"/>
          <cell r="BM25"/>
          <cell r="BN25"/>
          <cell r="BO25"/>
        </row>
        <row r="26">
          <cell r="F26">
            <v>17547100.771014195</v>
          </cell>
          <cell r="G26">
            <v>1667072.4793563518</v>
          </cell>
          <cell r="H26">
            <v>345223.82528781425</v>
          </cell>
          <cell r="I26">
            <v>511360.47542387433</v>
          </cell>
          <cell r="J26">
            <v>400272.38153737108</v>
          </cell>
          <cell r="K26">
            <v>990127.35292864311</v>
          </cell>
          <cell r="L26">
            <v>1237022.5426534652</v>
          </cell>
          <cell r="M26">
            <v>80018.337446483318</v>
          </cell>
          <cell r="N26">
            <v>744509.83414482162</v>
          </cell>
          <cell r="O26">
            <v>495492.4066862904</v>
          </cell>
          <cell r="P26">
            <v>1562049.1268095749</v>
          </cell>
          <cell r="Q26">
            <v>1431635.9891836243</v>
          </cell>
          <cell r="R26">
            <v>657343.78523254651</v>
          </cell>
          <cell r="S26">
            <v>2600303.4897820591</v>
          </cell>
          <cell r="T26">
            <v>934598.52850390947</v>
          </cell>
          <cell r="U26">
            <v>2223726.6106250589</v>
          </cell>
          <cell r="V26">
            <v>182059.96613765764</v>
          </cell>
          <cell r="W26">
            <v>121902.44101205334</v>
          </cell>
          <cell r="X26"/>
          <cell r="Y26"/>
          <cell r="Z26">
            <v>16184719.572751593</v>
          </cell>
          <cell r="AA26">
            <v>400706.891</v>
          </cell>
          <cell r="AB26">
            <v>-5999.2520000000004</v>
          </cell>
          <cell r="AC26">
            <v>48253.438000000002</v>
          </cell>
          <cell r="AD26">
            <v>184994.86800000002</v>
          </cell>
          <cell r="AE26"/>
          <cell r="AF26"/>
          <cell r="AG26"/>
          <cell r="AH26">
            <v>627955.94499999995</v>
          </cell>
          <cell r="AI26">
            <v>16812675.517751645</v>
          </cell>
          <cell r="AJ26">
            <v>359154.71935601602</v>
          </cell>
          <cell r="AK26">
            <v>-56573.524403368108</v>
          </cell>
          <cell r="AL26">
            <v>-306576.44768999866</v>
          </cell>
          <cell r="AM26"/>
          <cell r="AN26">
            <v>-3995.2527373507619</v>
          </cell>
          <cell r="AO26">
            <v>483503.6990000009</v>
          </cell>
          <cell r="AP26">
            <v>-8558.36</v>
          </cell>
          <cell r="AQ26"/>
          <cell r="AR26"/>
          <cell r="AS26">
            <v>474945.33900000091</v>
          </cell>
          <cell r="AT26">
            <v>39621.019</v>
          </cell>
          <cell r="AU26">
            <v>13574.650000000001</v>
          </cell>
          <cell r="AV26">
            <v>613911.56200000003</v>
          </cell>
          <cell r="AW26"/>
          <cell r="AX26"/>
          <cell r="AY26"/>
          <cell r="AZ26"/>
          <cell r="BA26">
            <v>667107.23100000003</v>
          </cell>
          <cell r="BB26">
            <v>0</v>
          </cell>
          <cell r="BC26">
            <v>-122905.05399999997</v>
          </cell>
          <cell r="BD26">
            <v>750000</v>
          </cell>
          <cell r="BE26">
            <v>-573859.33299999998</v>
          </cell>
          <cell r="BF26">
            <v>-372144.26899999997</v>
          </cell>
          <cell r="BG26">
            <v>-84723.40800000001</v>
          </cell>
          <cell r="BH26"/>
          <cell r="BI26"/>
          <cell r="BJ26">
            <v>-403632.06399999995</v>
          </cell>
          <cell r="BK26"/>
          <cell r="BL26"/>
          <cell r="BM26"/>
          <cell r="BN26"/>
          <cell r="BO26"/>
        </row>
        <row r="27">
          <cell r="F27">
            <v>17547100.771014232</v>
          </cell>
          <cell r="G27">
            <v>1667072.4793563513</v>
          </cell>
          <cell r="H27">
            <v>345223.82528781472</v>
          </cell>
          <cell r="I27">
            <v>511360.47542387352</v>
          </cell>
          <cell r="J27">
            <v>400272.38153737102</v>
          </cell>
          <cell r="K27">
            <v>990127.35292864183</v>
          </cell>
          <cell r="L27">
            <v>1237022.5426534645</v>
          </cell>
          <cell r="M27">
            <v>80018.337446484016</v>
          </cell>
          <cell r="N27">
            <v>744509.83414482011</v>
          </cell>
          <cell r="O27">
            <v>495492.406686289</v>
          </cell>
          <cell r="P27">
            <v>1562049.1268095735</v>
          </cell>
          <cell r="Q27">
            <v>1431635.9891836238</v>
          </cell>
          <cell r="R27">
            <v>657343.78523254627</v>
          </cell>
          <cell r="S27">
            <v>2600303.4897820544</v>
          </cell>
          <cell r="T27">
            <v>934598.52850390994</v>
          </cell>
          <cell r="U27">
            <v>2223726.6106250565</v>
          </cell>
          <cell r="V27">
            <v>182059.96613765764</v>
          </cell>
          <cell r="W27">
            <v>121902.44101205346</v>
          </cell>
          <cell r="X27"/>
          <cell r="Y27"/>
          <cell r="Z27">
            <v>16184719.572751584</v>
          </cell>
          <cell r="AA27">
            <v>400706.89099999995</v>
          </cell>
          <cell r="AB27">
            <v>-5999.2519999999995</v>
          </cell>
          <cell r="AC27">
            <v>48253.437999999995</v>
          </cell>
          <cell r="AD27">
            <v>184994.86799999999</v>
          </cell>
          <cell r="AE27"/>
          <cell r="AF27"/>
          <cell r="AG27"/>
          <cell r="AH27">
            <v>627955.94499999995</v>
          </cell>
          <cell r="AI27">
            <v>16812675.517751582</v>
          </cell>
          <cell r="AJ27">
            <v>359154.71935601567</v>
          </cell>
          <cell r="AK27">
            <v>-56573.524403368312</v>
          </cell>
          <cell r="AL27">
            <v>-306576.44768999988</v>
          </cell>
          <cell r="AM27"/>
          <cell r="AN27">
            <v>-3995.2527373525081</v>
          </cell>
          <cell r="AO27">
            <v>483503.69900000293</v>
          </cell>
          <cell r="AP27">
            <v>-8558.36</v>
          </cell>
          <cell r="AQ27"/>
          <cell r="AR27"/>
          <cell r="AS27">
            <v>474945.33900000295</v>
          </cell>
          <cell r="AT27">
            <v>39621.019</v>
          </cell>
          <cell r="AU27">
            <v>13574.649999999998</v>
          </cell>
          <cell r="AV27">
            <v>613911.56200000003</v>
          </cell>
          <cell r="AW27"/>
          <cell r="AX27"/>
          <cell r="AY27"/>
          <cell r="AZ27"/>
          <cell r="BA27">
            <v>667107.23100000003</v>
          </cell>
          <cell r="BB27">
            <v>0</v>
          </cell>
          <cell r="BC27">
            <v>-122905.054</v>
          </cell>
          <cell r="BD27">
            <v>750000</v>
          </cell>
          <cell r="BE27">
            <v>-573859.33299999998</v>
          </cell>
          <cell r="BF27">
            <v>-372144.26899999991</v>
          </cell>
          <cell r="BG27">
            <v>-84723.40800000001</v>
          </cell>
          <cell r="BH27"/>
          <cell r="BI27"/>
          <cell r="BJ27">
            <v>-403632.0639999999</v>
          </cell>
          <cell r="BK27"/>
          <cell r="BL27"/>
          <cell r="BM27"/>
          <cell r="BN27"/>
          <cell r="BO27"/>
        </row>
        <row r="28">
          <cell r="F28">
            <v>-3.7252902984619141E-8</v>
          </cell>
          <cell r="G28">
            <v>0</v>
          </cell>
          <cell r="H28">
            <v>-4.6566128730773926E-10</v>
          </cell>
          <cell r="I28">
            <v>8.149072527885437E-10</v>
          </cell>
          <cell r="J28">
            <v>0</v>
          </cell>
          <cell r="K28">
            <v>1.280568540096283E-9</v>
          </cell>
          <cell r="L28">
            <v>0</v>
          </cell>
          <cell r="M28">
            <v>-6.9849193096160889E-10</v>
          </cell>
          <cell r="N28">
            <v>1.5133991837501526E-9</v>
          </cell>
          <cell r="O28">
            <v>1.3969838619232178E-9</v>
          </cell>
          <cell r="P28">
            <v>0</v>
          </cell>
          <cell r="Q28">
            <v>0</v>
          </cell>
          <cell r="R28">
            <v>0</v>
          </cell>
          <cell r="S28">
            <v>4.6566128730773926E-9</v>
          </cell>
          <cell r="T28">
            <v>0</v>
          </cell>
          <cell r="U28">
            <v>0</v>
          </cell>
          <cell r="V28">
            <v>0</v>
          </cell>
          <cell r="W28">
            <v>-1.1641532182693481E-10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6.3329935073852539E-8</v>
          </cell>
          <cell r="AJ28">
            <v>0</v>
          </cell>
          <cell r="AK28">
            <v>2.0372681319713593E-10</v>
          </cell>
          <cell r="AL28">
            <v>1.2223608791828156E-9</v>
          </cell>
          <cell r="AM28"/>
          <cell r="AN28">
            <v>1.7462298274040222E-9</v>
          </cell>
          <cell r="AO28">
            <v>-2.0372681319713593E-9</v>
          </cell>
          <cell r="AP28">
            <v>0</v>
          </cell>
          <cell r="AQ28"/>
          <cell r="AR28"/>
          <cell r="AS28">
            <v>-2.0372681319713593E-9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/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373671</v>
          </cell>
          <cell r="H31">
            <v>267075</v>
          </cell>
          <cell r="I31">
            <v>243700</v>
          </cell>
          <cell r="J31">
            <v>114721.5</v>
          </cell>
          <cell r="K31">
            <v>197242.5</v>
          </cell>
          <cell r="L31">
            <v>207172</v>
          </cell>
          <cell r="M31">
            <v>134283</v>
          </cell>
          <cell r="N31">
            <v>197189.5</v>
          </cell>
          <cell r="O31">
            <v>126689</v>
          </cell>
          <cell r="P31">
            <v>170649.5</v>
          </cell>
          <cell r="Q31">
            <v>155883</v>
          </cell>
          <cell r="R31">
            <v>108774</v>
          </cell>
          <cell r="S31">
            <v>267061.5</v>
          </cell>
          <cell r="T31">
            <v>55917</v>
          </cell>
          <cell r="U31">
            <v>85586.5</v>
          </cell>
          <cell r="V31">
            <v>85150</v>
          </cell>
          <cell r="W31">
            <v>34505.5</v>
          </cell>
          <cell r="X31">
            <v>0</v>
          </cell>
          <cell r="Y31">
            <v>0</v>
          </cell>
          <cell r="Z31">
            <v>2825270.5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2825270.5</v>
          </cell>
          <cell r="AJ31">
            <v>189826</v>
          </cell>
          <cell r="AK31">
            <v>169890</v>
          </cell>
          <cell r="AL31">
            <v>354589</v>
          </cell>
          <cell r="AM31"/>
          <cell r="AN31">
            <v>714305</v>
          </cell>
          <cell r="AO31">
            <v>86939.351999999999</v>
          </cell>
          <cell r="AP31">
            <v>0</v>
          </cell>
          <cell r="AQ31"/>
          <cell r="AR31"/>
          <cell r="AS31">
            <v>86939.351999999999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/>
          <cell r="BI31"/>
          <cell r="BJ31">
            <v>0</v>
          </cell>
        </row>
        <row r="32">
          <cell r="F32">
            <v>386965912.08099991</v>
          </cell>
          <cell r="G32">
            <v>37039865.332000002</v>
          </cell>
          <cell r="H32">
            <v>26610639.729999997</v>
          </cell>
          <cell r="I32">
            <v>23555595.879000001</v>
          </cell>
          <cell r="J32">
            <v>11196539.796000002</v>
          </cell>
          <cell r="K32">
            <v>21243855.801000003</v>
          </cell>
          <cell r="L32">
            <v>20831233.748</v>
          </cell>
          <cell r="M32">
            <v>12777261.899999999</v>
          </cell>
          <cell r="N32">
            <v>19917169.072000001</v>
          </cell>
          <cell r="O32">
            <v>11748749.418</v>
          </cell>
          <cell r="P32">
            <v>17191816.300000001</v>
          </cell>
          <cell r="Q32">
            <v>15602772.502</v>
          </cell>
          <cell r="R32">
            <v>11248414.042000001</v>
          </cell>
          <cell r="S32">
            <v>26913525.007000003</v>
          </cell>
          <cell r="T32">
            <v>6269292.6669999994</v>
          </cell>
          <cell r="U32">
            <v>9687700.0860000011</v>
          </cell>
          <cell r="V32">
            <v>8192708.8020000001</v>
          </cell>
          <cell r="W32">
            <v>4295720.6310000001</v>
          </cell>
          <cell r="X32">
            <v>0</v>
          </cell>
          <cell r="Y32">
            <v>0</v>
          </cell>
          <cell r="Z32">
            <v>284322860.713</v>
          </cell>
          <cell r="AA32">
            <v>500000</v>
          </cell>
          <cell r="AB32">
            <v>0</v>
          </cell>
          <cell r="AC32">
            <v>125000</v>
          </cell>
          <cell r="AD32">
            <v>283400</v>
          </cell>
          <cell r="AE32"/>
          <cell r="AF32"/>
          <cell r="AG32"/>
          <cell r="AH32">
            <v>908400</v>
          </cell>
          <cell r="AI32">
            <v>285231260.713</v>
          </cell>
          <cell r="AJ32">
            <v>5582873.5800000001</v>
          </cell>
          <cell r="AK32">
            <v>2387739</v>
          </cell>
          <cell r="AL32">
            <v>6404991.5</v>
          </cell>
          <cell r="AM32"/>
          <cell r="AN32">
            <v>14375604.08</v>
          </cell>
          <cell r="AO32">
            <v>86611076.326000005</v>
          </cell>
          <cell r="AP32">
            <v>0</v>
          </cell>
          <cell r="AQ32"/>
          <cell r="AR32"/>
          <cell r="AS32">
            <v>86611076.326000005</v>
          </cell>
          <cell r="AT32">
            <v>54075</v>
          </cell>
          <cell r="AU32">
            <v>62500</v>
          </cell>
          <cell r="AV32">
            <v>613911.56200000003</v>
          </cell>
          <cell r="AW32"/>
          <cell r="AX32"/>
          <cell r="AY32"/>
          <cell r="AZ32"/>
          <cell r="BA32">
            <v>730486.56200000003</v>
          </cell>
          <cell r="BB32">
            <v>0</v>
          </cell>
          <cell r="BC32">
            <v>17484.400000000001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/>
          <cell r="BI32"/>
          <cell r="BJ32">
            <v>17484.400000000001</v>
          </cell>
        </row>
        <row r="33">
          <cell r="F33">
            <v>345315451.43598998</v>
          </cell>
          <cell r="G33">
            <v>32794377.133000001</v>
          </cell>
          <cell r="H33">
            <v>24288593.42599</v>
          </cell>
          <cell r="I33">
            <v>21355118.217</v>
          </cell>
          <cell r="J33">
            <v>9897724.2040000018</v>
          </cell>
          <cell r="K33">
            <v>18695345.716000002</v>
          </cell>
          <cell r="L33">
            <v>18007532.827</v>
          </cell>
          <cell r="M33">
            <v>11663712.806</v>
          </cell>
          <cell r="N33">
            <v>17680629.877999999</v>
          </cell>
          <cell r="O33">
            <v>10368360.354999999</v>
          </cell>
          <cell r="P33">
            <v>14277789.358999999</v>
          </cell>
          <cell r="Q33">
            <v>12991082.99</v>
          </cell>
          <cell r="R33">
            <v>9714805.6110000014</v>
          </cell>
          <cell r="S33">
            <v>22545105.397</v>
          </cell>
          <cell r="T33">
            <v>4912670.6689999998</v>
          </cell>
          <cell r="U33">
            <v>6875485.2319999989</v>
          </cell>
          <cell r="V33">
            <v>7291498.0659999996</v>
          </cell>
          <cell r="W33">
            <v>3808650.5720000002</v>
          </cell>
          <cell r="X33">
            <v>0</v>
          </cell>
          <cell r="Y33">
            <v>0</v>
          </cell>
          <cell r="Z33">
            <v>247168482.45799002</v>
          </cell>
          <cell r="AA33">
            <v>97203.409</v>
          </cell>
          <cell r="AB33">
            <v>0</v>
          </cell>
          <cell r="AC33">
            <v>76471.161999999997</v>
          </cell>
          <cell r="AD33">
            <v>98405.131999999998</v>
          </cell>
          <cell r="AE33"/>
          <cell r="AF33"/>
          <cell r="AG33"/>
          <cell r="AH33">
            <v>272079.70299999998</v>
          </cell>
          <cell r="AI33">
            <v>247440562.16099003</v>
          </cell>
          <cell r="AJ33">
            <v>5044412.159</v>
          </cell>
          <cell r="AK33">
            <v>2230274.1479999996</v>
          </cell>
          <cell r="AL33">
            <v>6501946.5799999982</v>
          </cell>
          <cell r="AM33"/>
          <cell r="AN33">
            <v>13776632.886999998</v>
          </cell>
          <cell r="AO33">
            <v>84700153.649000004</v>
          </cell>
          <cell r="AP33">
            <v>0</v>
          </cell>
          <cell r="AQ33"/>
          <cell r="AR33"/>
          <cell r="AS33">
            <v>84700153.649000004</v>
          </cell>
          <cell r="AT33">
            <v>14453.981</v>
          </cell>
          <cell r="AU33">
            <v>48925.35</v>
          </cell>
          <cell r="AV33">
            <v>0</v>
          </cell>
          <cell r="AW33"/>
          <cell r="AX33"/>
          <cell r="AY33"/>
          <cell r="AZ33"/>
          <cell r="BA33">
            <v>63379.330999999998</v>
          </cell>
          <cell r="BB33">
            <v>0</v>
          </cell>
          <cell r="BC33">
            <v>0</v>
          </cell>
          <cell r="BD33">
            <v>-750000</v>
          </cell>
          <cell r="BE33">
            <v>0</v>
          </cell>
          <cell r="BF33">
            <v>0</v>
          </cell>
          <cell r="BG33">
            <v>84723.40800000001</v>
          </cell>
          <cell r="BH33"/>
          <cell r="BI33"/>
          <cell r="BJ33">
            <v>-665276.59199999995</v>
          </cell>
        </row>
        <row r="34">
          <cell r="F34">
            <v>41650460.645009935</v>
          </cell>
          <cell r="G34">
            <v>4245488.199000001</v>
          </cell>
          <cell r="H34">
            <v>2322046.3040099964</v>
          </cell>
          <cell r="I34">
            <v>2200477.6620000005</v>
          </cell>
          <cell r="J34">
            <v>1298815.5920000002</v>
          </cell>
          <cell r="K34">
            <v>2548510.0850000009</v>
          </cell>
          <cell r="L34">
            <v>2823700.9210000001</v>
          </cell>
          <cell r="M34">
            <v>1113549.0939999986</v>
          </cell>
          <cell r="N34">
            <v>2236539.194000002</v>
          </cell>
          <cell r="O34">
            <v>1380389.063000001</v>
          </cell>
          <cell r="P34">
            <v>2914026.9410000015</v>
          </cell>
          <cell r="Q34">
            <v>2611689.5120000001</v>
          </cell>
          <cell r="R34">
            <v>1533608.4309999999</v>
          </cell>
          <cell r="S34">
            <v>4368419.6100000031</v>
          </cell>
          <cell r="T34">
            <v>1356621.9979999997</v>
          </cell>
          <cell r="U34">
            <v>2812214.8540000021</v>
          </cell>
          <cell r="V34">
            <v>901210.7360000005</v>
          </cell>
          <cell r="W34">
            <v>487070.05899999989</v>
          </cell>
          <cell r="X34">
            <v>0</v>
          </cell>
          <cell r="Y34">
            <v>0</v>
          </cell>
          <cell r="Z34">
            <v>37154378.255009979</v>
          </cell>
          <cell r="AA34">
            <v>402796.59100000001</v>
          </cell>
          <cell r="AB34">
            <v>0</v>
          </cell>
          <cell r="AC34">
            <v>48528.838000000003</v>
          </cell>
          <cell r="AD34">
            <v>184994.86800000002</v>
          </cell>
          <cell r="AE34"/>
          <cell r="AF34"/>
          <cell r="AG34"/>
          <cell r="AH34">
            <v>636320.29700000002</v>
          </cell>
          <cell r="AI34">
            <v>37790698.55200997</v>
          </cell>
          <cell r="AJ34">
            <v>538461.42100000009</v>
          </cell>
          <cell r="AK34">
            <v>157464.85200000042</v>
          </cell>
          <cell r="AL34">
            <v>-96955.079999998212</v>
          </cell>
          <cell r="AM34"/>
          <cell r="AN34">
            <v>598971.19300000183</v>
          </cell>
          <cell r="AO34">
            <v>1910922.6770000011</v>
          </cell>
          <cell r="AP34">
            <v>0</v>
          </cell>
          <cell r="AQ34"/>
          <cell r="AR34"/>
          <cell r="AS34">
            <v>1910922.6770000011</v>
          </cell>
          <cell r="AT34">
            <v>39621.019</v>
          </cell>
          <cell r="AU34">
            <v>13574.650000000001</v>
          </cell>
          <cell r="AV34">
            <v>613911.56200000003</v>
          </cell>
          <cell r="AW34"/>
          <cell r="AX34"/>
          <cell r="AY34"/>
          <cell r="AZ34"/>
          <cell r="BA34">
            <v>667107.23100000003</v>
          </cell>
          <cell r="BB34">
            <v>0</v>
          </cell>
          <cell r="BC34">
            <v>17484.400000000001</v>
          </cell>
          <cell r="BD34">
            <v>750000</v>
          </cell>
          <cell r="BE34">
            <v>0</v>
          </cell>
          <cell r="BF34">
            <v>0</v>
          </cell>
          <cell r="BG34">
            <v>-84723.40800000001</v>
          </cell>
          <cell r="BH34"/>
          <cell r="BI34"/>
          <cell r="BJ34">
            <v>682760.99199999997</v>
          </cell>
        </row>
        <row r="35">
          <cell r="F35">
            <v>24103359.873995766</v>
          </cell>
          <cell r="G35">
            <v>2578415.7196436482</v>
          </cell>
          <cell r="H35">
            <v>1976822.4787221837</v>
          </cell>
          <cell r="I35">
            <v>1689117.1865761264</v>
          </cell>
          <cell r="J35">
            <v>898543.21046262921</v>
          </cell>
          <cell r="K35">
            <v>1558382.7320713575</v>
          </cell>
          <cell r="L35">
            <v>1586678.378346534</v>
          </cell>
          <cell r="M35">
            <v>1033530.7565535158</v>
          </cell>
          <cell r="N35">
            <v>1492029.3598551794</v>
          </cell>
          <cell r="O35">
            <v>884896.65631371108</v>
          </cell>
          <cell r="P35">
            <v>1351977.8141904273</v>
          </cell>
          <cell r="Q35">
            <v>1180053.5228163761</v>
          </cell>
          <cell r="R35">
            <v>876264.64576745394</v>
          </cell>
          <cell r="S35">
            <v>1768116.1202179447</v>
          </cell>
          <cell r="T35">
            <v>422023.46949608997</v>
          </cell>
          <cell r="U35">
            <v>588488.24337494338</v>
          </cell>
          <cell r="V35">
            <v>719150.76986234263</v>
          </cell>
          <cell r="W35">
            <v>365167.61798794661</v>
          </cell>
          <cell r="X35">
            <v>0</v>
          </cell>
          <cell r="Y35">
            <v>0</v>
          </cell>
          <cell r="Z35">
            <v>20969658.682258409</v>
          </cell>
          <cell r="AA35">
            <v>2089.6999999999998</v>
          </cell>
          <cell r="AB35">
            <v>5999.2520000000004</v>
          </cell>
          <cell r="AC35">
            <v>275.39999999999998</v>
          </cell>
          <cell r="AD35">
            <v>0</v>
          </cell>
          <cell r="AE35"/>
          <cell r="AF35"/>
          <cell r="AG35"/>
          <cell r="AH35">
            <v>8364.3520000000008</v>
          </cell>
          <cell r="AI35">
            <v>20978023.03425841</v>
          </cell>
          <cell r="AJ35">
            <v>179306.70164398424</v>
          </cell>
          <cell r="AK35">
            <v>214038.37640336831</v>
          </cell>
          <cell r="AL35">
            <v>209621.36768999998</v>
          </cell>
          <cell r="AM35"/>
          <cell r="AN35">
            <v>602966.44573735259</v>
          </cell>
          <cell r="AO35">
            <v>1427418.9780000001</v>
          </cell>
          <cell r="AP35">
            <v>8558.36</v>
          </cell>
          <cell r="AQ35"/>
          <cell r="AR35"/>
          <cell r="AS35">
            <v>1435977.3380000002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140389.45399999997</v>
          </cell>
          <cell r="BD35">
            <v>0</v>
          </cell>
          <cell r="BE35">
            <v>573859.33299999998</v>
          </cell>
          <cell r="BF35">
            <v>372144.26899999997</v>
          </cell>
          <cell r="BG35">
            <v>0</v>
          </cell>
          <cell r="BH35"/>
          <cell r="BI35"/>
          <cell r="BJ35">
            <v>1086393.0559999999</v>
          </cell>
        </row>
        <row r="36">
          <cell r="F36">
            <v>17547100.771014169</v>
          </cell>
          <cell r="G36">
            <v>1667072.4793563527</v>
          </cell>
          <cell r="H36">
            <v>345223.82528781262</v>
          </cell>
          <cell r="I36">
            <v>511360.4754238741</v>
          </cell>
          <cell r="J36">
            <v>400272.38153737097</v>
          </cell>
          <cell r="K36">
            <v>990127.35292864335</v>
          </cell>
          <cell r="L36">
            <v>1237022.5426534661</v>
          </cell>
          <cell r="M36">
            <v>80018.337446482852</v>
          </cell>
          <cell r="N36">
            <v>744509.83414482255</v>
          </cell>
          <cell r="O36">
            <v>495492.40668628993</v>
          </cell>
          <cell r="P36">
            <v>1562049.1268095742</v>
          </cell>
          <cell r="Q36">
            <v>1431635.989183624</v>
          </cell>
          <cell r="R36">
            <v>657343.78523254592</v>
          </cell>
          <cell r="S36">
            <v>2600303.4897820586</v>
          </cell>
          <cell r="T36">
            <v>934598.52850390971</v>
          </cell>
          <cell r="U36">
            <v>2223726.6106250589</v>
          </cell>
          <cell r="V36">
            <v>182059.96613765787</v>
          </cell>
          <cell r="W36">
            <v>121902.44101205328</v>
          </cell>
          <cell r="X36">
            <v>0</v>
          </cell>
          <cell r="Y36">
            <v>0</v>
          </cell>
          <cell r="Z36">
            <v>16184719.57275157</v>
          </cell>
          <cell r="AA36">
            <v>400706.891</v>
          </cell>
          <cell r="AB36">
            <v>-5999.2520000000004</v>
          </cell>
          <cell r="AC36">
            <v>48253.438000000002</v>
          </cell>
          <cell r="AD36">
            <v>184994.86800000002</v>
          </cell>
          <cell r="AE36"/>
          <cell r="AF36"/>
          <cell r="AG36"/>
          <cell r="AH36">
            <v>627955.94500000007</v>
          </cell>
          <cell r="AI36">
            <v>16812675.51775156</v>
          </cell>
          <cell r="AJ36">
            <v>359154.71935601585</v>
          </cell>
          <cell r="AK36">
            <v>-56573.52440336789</v>
          </cell>
          <cell r="AL36">
            <v>-306576.4476899982</v>
          </cell>
          <cell r="AM36"/>
          <cell r="AN36">
            <v>-3995.2527373507619</v>
          </cell>
          <cell r="AO36">
            <v>483503.69900000095</v>
          </cell>
          <cell r="AP36">
            <v>-8558.36</v>
          </cell>
          <cell r="AQ36"/>
          <cell r="AR36"/>
          <cell r="AS36">
            <v>474945.33900000085</v>
          </cell>
          <cell r="AT36">
            <v>39621.019</v>
          </cell>
          <cell r="AU36">
            <v>13574.650000000001</v>
          </cell>
          <cell r="AV36">
            <v>613911.56200000003</v>
          </cell>
          <cell r="AW36"/>
          <cell r="AX36"/>
          <cell r="AY36"/>
          <cell r="AZ36"/>
          <cell r="BA36">
            <v>667107.23100000003</v>
          </cell>
          <cell r="BB36">
            <v>0</v>
          </cell>
          <cell r="BC36">
            <v>-122905.05399999997</v>
          </cell>
          <cell r="BD36">
            <v>750000</v>
          </cell>
          <cell r="BE36">
            <v>-573859.33299999998</v>
          </cell>
          <cell r="BF36">
            <v>-372144.26899999997</v>
          </cell>
          <cell r="BG36">
            <v>-84723.40800000001</v>
          </cell>
          <cell r="BH36"/>
          <cell r="BI36"/>
          <cell r="BJ36">
            <v>-403632.0639999999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-121277</v>
          </cell>
          <cell r="AK38">
            <v>-100828</v>
          </cell>
          <cell r="AL38">
            <v>-235716</v>
          </cell>
          <cell r="AM38"/>
          <cell r="AN38">
            <v>-457821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-9699086.0800000001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-3569226.08</v>
          </cell>
          <cell r="AK39">
            <v>-1623188</v>
          </cell>
          <cell r="AL39">
            <v>-4506672</v>
          </cell>
          <cell r="AM39"/>
          <cell r="AN39">
            <v>-9699086.0800000001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-9699086.0800000001</v>
          </cell>
          <cell r="G40"/>
          <cell r="H40"/>
          <cell r="I40"/>
          <cell r="J40"/>
          <cell r="K40">
            <v>-563815.255</v>
          </cell>
          <cell r="L40">
            <v>-186407.9470000001</v>
          </cell>
          <cell r="M40">
            <v>-29777.366000000002</v>
          </cell>
          <cell r="N40">
            <v>-60267.627</v>
          </cell>
          <cell r="O40">
            <v>-7052.585</v>
          </cell>
          <cell r="P40">
            <v>2696.7660000000001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-844624.01400000008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-844624.01400000008</v>
          </cell>
          <cell r="AJ40">
            <v>-3193199.952</v>
          </cell>
          <cell r="AK40">
            <v>-1338702.7439999999</v>
          </cell>
          <cell r="AL40">
            <v>-4322559.37</v>
          </cell>
          <cell r="AM40"/>
          <cell r="AN40">
            <v>-8854462.0659999996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563815.255</v>
          </cell>
          <cell r="L41">
            <v>186407.9470000001</v>
          </cell>
          <cell r="M41">
            <v>29777.366000000002</v>
          </cell>
          <cell r="N41">
            <v>60267.627</v>
          </cell>
          <cell r="O41">
            <v>7052.585</v>
          </cell>
          <cell r="P41">
            <v>-2696.7660000000001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844624.01400000008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844624.01400000008</v>
          </cell>
          <cell r="AJ41">
            <v>-376026.12800000003</v>
          </cell>
          <cell r="AK41">
            <v>-284485.25600000005</v>
          </cell>
          <cell r="AL41">
            <v>-184112.62999999989</v>
          </cell>
          <cell r="AM41"/>
          <cell r="AN41">
            <v>-844624.01400000043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563815.255</v>
          </cell>
          <cell r="L43">
            <v>186407.9470000001</v>
          </cell>
          <cell r="M43">
            <v>29777.366000000002</v>
          </cell>
          <cell r="N43">
            <v>60267.627</v>
          </cell>
          <cell r="O43">
            <v>7052.585</v>
          </cell>
          <cell r="P43">
            <v>-2696.7660000000001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844624.01400000008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844624.01400000008</v>
          </cell>
          <cell r="AJ43">
            <v>-376026.12800000003</v>
          </cell>
          <cell r="AK43">
            <v>-284485.25600000005</v>
          </cell>
          <cell r="AL43">
            <v>-184112.62999999989</v>
          </cell>
          <cell r="AM43"/>
          <cell r="AN43">
            <v>-844624.01400000043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/>
          <cell r="BI43"/>
          <cell r="BJ43">
            <v>0</v>
          </cell>
        </row>
        <row r="45">
          <cell r="F45"/>
          <cell r="G45">
            <v>373671</v>
          </cell>
          <cell r="H45">
            <v>267075</v>
          </cell>
          <cell r="I45">
            <v>243700</v>
          </cell>
          <cell r="J45">
            <v>114721.5</v>
          </cell>
          <cell r="K45">
            <v>197242.5</v>
          </cell>
          <cell r="L45">
            <v>207172</v>
          </cell>
          <cell r="M45">
            <v>134283</v>
          </cell>
          <cell r="N45">
            <v>197189.5</v>
          </cell>
          <cell r="O45">
            <v>126689</v>
          </cell>
          <cell r="P45">
            <v>170649.5</v>
          </cell>
          <cell r="Q45">
            <v>155883</v>
          </cell>
          <cell r="R45">
            <v>108774</v>
          </cell>
          <cell r="S45">
            <v>267061.5</v>
          </cell>
          <cell r="T45">
            <v>55917</v>
          </cell>
          <cell r="U45">
            <v>85586.5</v>
          </cell>
          <cell r="V45">
            <v>85150</v>
          </cell>
          <cell r="W45">
            <v>34505.5</v>
          </cell>
          <cell r="X45">
            <v>0</v>
          </cell>
          <cell r="Y45">
            <v>0</v>
          </cell>
          <cell r="Z45">
            <v>2825270.5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2825270.5</v>
          </cell>
          <cell r="AJ45">
            <v>68549</v>
          </cell>
          <cell r="AK45">
            <v>69062</v>
          </cell>
          <cell r="AL45">
            <v>118873</v>
          </cell>
          <cell r="AM45"/>
          <cell r="AN45">
            <v>256484</v>
          </cell>
          <cell r="AO45">
            <v>86939.351999999999</v>
          </cell>
          <cell r="AP45">
            <v>0</v>
          </cell>
          <cell r="AQ45"/>
          <cell r="AR45"/>
          <cell r="AS45">
            <v>86939.351999999999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/>
          <cell r="BI45"/>
          <cell r="BJ45">
            <v>0</v>
          </cell>
        </row>
        <row r="46">
          <cell r="F46">
            <v>377266826.00099999</v>
          </cell>
          <cell r="G46">
            <v>37039865.332000002</v>
          </cell>
          <cell r="H46">
            <v>26610639.729999997</v>
          </cell>
          <cell r="I46">
            <v>23555595.879000001</v>
          </cell>
          <cell r="J46">
            <v>11196539.796000002</v>
          </cell>
          <cell r="K46">
            <v>21243855.801000003</v>
          </cell>
          <cell r="L46">
            <v>20831233.748</v>
          </cell>
          <cell r="M46">
            <v>12777261.899999999</v>
          </cell>
          <cell r="N46">
            <v>19917169.072000001</v>
          </cell>
          <cell r="O46">
            <v>11748749.418</v>
          </cell>
          <cell r="P46">
            <v>17191816.300000001</v>
          </cell>
          <cell r="Q46">
            <v>15602772.502</v>
          </cell>
          <cell r="R46">
            <v>11248414.042000001</v>
          </cell>
          <cell r="S46">
            <v>26913525.007000003</v>
          </cell>
          <cell r="T46">
            <v>6269292.6669999994</v>
          </cell>
          <cell r="U46">
            <v>9687700.0860000011</v>
          </cell>
          <cell r="V46">
            <v>8192708.8020000001</v>
          </cell>
          <cell r="W46">
            <v>4295720.6310000001</v>
          </cell>
          <cell r="X46">
            <v>0</v>
          </cell>
          <cell r="Y46">
            <v>0</v>
          </cell>
          <cell r="Z46">
            <v>284322860.713</v>
          </cell>
          <cell r="AA46">
            <v>500000</v>
          </cell>
          <cell r="AB46">
            <v>0</v>
          </cell>
          <cell r="AC46">
            <v>125000</v>
          </cell>
          <cell r="AD46">
            <v>283400</v>
          </cell>
          <cell r="AE46"/>
          <cell r="AF46"/>
          <cell r="AG46"/>
          <cell r="AH46">
            <v>908400</v>
          </cell>
          <cell r="AI46">
            <v>285231260.713</v>
          </cell>
          <cell r="AJ46">
            <v>2013647.5</v>
          </cell>
          <cell r="AK46">
            <v>764551</v>
          </cell>
          <cell r="AL46">
            <v>1898319.5</v>
          </cell>
          <cell r="AM46"/>
          <cell r="AN46">
            <v>4676518</v>
          </cell>
          <cell r="AO46">
            <v>86611076.326000005</v>
          </cell>
          <cell r="AP46">
            <v>0</v>
          </cell>
          <cell r="AQ46"/>
          <cell r="AR46"/>
          <cell r="AS46">
            <v>86611076.326000005</v>
          </cell>
          <cell r="AT46">
            <v>54075</v>
          </cell>
          <cell r="AU46">
            <v>62500</v>
          </cell>
          <cell r="AV46">
            <v>613911.56200000003</v>
          </cell>
          <cell r="AW46"/>
          <cell r="AX46"/>
          <cell r="AY46"/>
          <cell r="AZ46"/>
          <cell r="BA46">
            <v>730486.56200000003</v>
          </cell>
          <cell r="BB46">
            <v>0</v>
          </cell>
          <cell r="BC46">
            <v>17484.400000000001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/>
          <cell r="BI46"/>
          <cell r="BJ46">
            <v>17484.400000000001</v>
          </cell>
        </row>
        <row r="47">
          <cell r="F47">
            <v>335616365.35598999</v>
          </cell>
          <cell r="G47">
            <v>32794377.133000001</v>
          </cell>
          <cell r="H47">
            <v>24288593.42599</v>
          </cell>
          <cell r="I47">
            <v>21355118.217</v>
          </cell>
          <cell r="J47">
            <v>9897724.2040000018</v>
          </cell>
          <cell r="K47">
            <v>18131530.461000003</v>
          </cell>
          <cell r="L47">
            <v>17821124.879999999</v>
          </cell>
          <cell r="M47">
            <v>11633935.439999999</v>
          </cell>
          <cell r="N47">
            <v>17620362.250999998</v>
          </cell>
          <cell r="O47">
            <v>10361307.769999998</v>
          </cell>
          <cell r="P47">
            <v>14280486.125</v>
          </cell>
          <cell r="Q47">
            <v>12991082.99</v>
          </cell>
          <cell r="R47">
            <v>9714805.6110000014</v>
          </cell>
          <cell r="S47">
            <v>22545105.397</v>
          </cell>
          <cell r="T47">
            <v>4912670.6689999998</v>
          </cell>
          <cell r="U47">
            <v>6875485.2319999989</v>
          </cell>
          <cell r="V47">
            <v>7291498.0659999996</v>
          </cell>
          <cell r="W47">
            <v>3808650.5720000002</v>
          </cell>
          <cell r="X47">
            <v>0</v>
          </cell>
          <cell r="Y47">
            <v>0</v>
          </cell>
          <cell r="Z47">
            <v>246323858.44399002</v>
          </cell>
          <cell r="AA47">
            <v>97203.409</v>
          </cell>
          <cell r="AB47">
            <v>0</v>
          </cell>
          <cell r="AC47">
            <v>76471.161999999997</v>
          </cell>
          <cell r="AD47">
            <v>98405.131999999998</v>
          </cell>
          <cell r="AE47"/>
          <cell r="AF47"/>
          <cell r="AG47"/>
          <cell r="AH47">
            <v>272079.70299999998</v>
          </cell>
          <cell r="AI47">
            <v>246595938.14699003</v>
          </cell>
          <cell r="AJ47">
            <v>1851212.2069999999</v>
          </cell>
          <cell r="AK47">
            <v>891571.40399999963</v>
          </cell>
          <cell r="AL47">
            <v>2179387.2099999981</v>
          </cell>
          <cell r="AM47"/>
          <cell r="AN47">
            <v>4922170.8209999977</v>
          </cell>
          <cell r="AO47">
            <v>84700153.649000004</v>
          </cell>
          <cell r="AP47">
            <v>0</v>
          </cell>
          <cell r="AQ47"/>
          <cell r="AR47"/>
          <cell r="AS47">
            <v>84700153.649000004</v>
          </cell>
          <cell r="AT47">
            <v>14453.981</v>
          </cell>
          <cell r="AU47">
            <v>48925.35</v>
          </cell>
          <cell r="AV47">
            <v>0</v>
          </cell>
          <cell r="AW47"/>
          <cell r="AX47"/>
          <cell r="AY47"/>
          <cell r="AZ47"/>
          <cell r="BA47">
            <v>63379.330999999998</v>
          </cell>
          <cell r="BB47">
            <v>0</v>
          </cell>
          <cell r="BC47">
            <v>0</v>
          </cell>
          <cell r="BD47">
            <v>-750000</v>
          </cell>
          <cell r="BE47">
            <v>0</v>
          </cell>
          <cell r="BF47">
            <v>0</v>
          </cell>
          <cell r="BG47">
            <v>84723.40800000001</v>
          </cell>
          <cell r="BH47"/>
          <cell r="BI47"/>
          <cell r="BJ47">
            <v>-665276.59199999995</v>
          </cell>
        </row>
        <row r="48">
          <cell r="F48">
            <v>41650460.645009995</v>
          </cell>
          <cell r="G48">
            <v>4245488.199000001</v>
          </cell>
          <cell r="H48">
            <v>2322046.3040099964</v>
          </cell>
          <cell r="I48">
            <v>2200477.6620000005</v>
          </cell>
          <cell r="J48">
            <v>1298815.5920000002</v>
          </cell>
          <cell r="K48">
            <v>3112325.34</v>
          </cell>
          <cell r="L48">
            <v>3010108.8680000007</v>
          </cell>
          <cell r="M48">
            <v>1143326.459999999</v>
          </cell>
          <cell r="N48">
            <v>2296806.8210000023</v>
          </cell>
          <cell r="O48">
            <v>1387441.6480000019</v>
          </cell>
          <cell r="P48">
            <v>2911330.1750000007</v>
          </cell>
          <cell r="Q48">
            <v>2611689.5120000001</v>
          </cell>
          <cell r="R48">
            <v>1533608.4309999999</v>
          </cell>
          <cell r="S48">
            <v>4368419.6100000031</v>
          </cell>
          <cell r="T48">
            <v>1356621.9979999997</v>
          </cell>
          <cell r="U48">
            <v>2812214.8540000021</v>
          </cell>
          <cell r="V48">
            <v>901210.7360000005</v>
          </cell>
          <cell r="W48">
            <v>487070.05899999989</v>
          </cell>
          <cell r="X48">
            <v>0</v>
          </cell>
          <cell r="Y48">
            <v>0</v>
          </cell>
          <cell r="Z48">
            <v>37999002.269009978</v>
          </cell>
          <cell r="AA48">
            <v>402796.59100000001</v>
          </cell>
          <cell r="AB48">
            <v>0</v>
          </cell>
          <cell r="AC48">
            <v>48528.838000000003</v>
          </cell>
          <cell r="AD48">
            <v>184994.86800000002</v>
          </cell>
          <cell r="AE48"/>
          <cell r="AF48"/>
          <cell r="AG48"/>
          <cell r="AH48">
            <v>636320.29700000002</v>
          </cell>
          <cell r="AI48">
            <v>38635322.566009969</v>
          </cell>
          <cell r="AJ48">
            <v>162435.29300000006</v>
          </cell>
          <cell r="AK48">
            <v>-127020.40399999963</v>
          </cell>
          <cell r="AL48">
            <v>-281067.7099999981</v>
          </cell>
          <cell r="AM48"/>
          <cell r="AN48">
            <v>-245652.82099999767</v>
          </cell>
          <cell r="AO48">
            <v>1910922.6770000011</v>
          </cell>
          <cell r="AP48">
            <v>0</v>
          </cell>
          <cell r="AQ48"/>
          <cell r="AR48"/>
          <cell r="AS48">
            <v>1910922.6770000011</v>
          </cell>
          <cell r="AT48">
            <v>39621.019</v>
          </cell>
          <cell r="AU48">
            <v>13574.650000000001</v>
          </cell>
          <cell r="AV48">
            <v>613911.56200000003</v>
          </cell>
          <cell r="AW48"/>
          <cell r="AX48"/>
          <cell r="AY48"/>
          <cell r="AZ48"/>
          <cell r="BA48">
            <v>667107.23100000003</v>
          </cell>
          <cell r="BB48">
            <v>0</v>
          </cell>
          <cell r="BC48">
            <v>17484.400000000001</v>
          </cell>
          <cell r="BD48">
            <v>750000</v>
          </cell>
          <cell r="BE48">
            <v>0</v>
          </cell>
          <cell r="BF48">
            <v>0</v>
          </cell>
          <cell r="BG48">
            <v>-84723.40800000001</v>
          </cell>
          <cell r="BH48"/>
          <cell r="BI48"/>
          <cell r="BJ48">
            <v>682760.99199999997</v>
          </cell>
        </row>
        <row r="49">
          <cell r="F49">
            <v>24103359.873995766</v>
          </cell>
          <cell r="G49">
            <v>2578415.7196436482</v>
          </cell>
          <cell r="H49">
            <v>1976822.4787221837</v>
          </cell>
          <cell r="I49">
            <v>1689117.1865761264</v>
          </cell>
          <cell r="J49">
            <v>898543.21046262921</v>
          </cell>
          <cell r="K49">
            <v>1558382.7320713575</v>
          </cell>
          <cell r="L49">
            <v>1586678.378346534</v>
          </cell>
          <cell r="M49">
            <v>1033530.7565535158</v>
          </cell>
          <cell r="N49">
            <v>1492029.3598551794</v>
          </cell>
          <cell r="O49">
            <v>884896.65631371108</v>
          </cell>
          <cell r="P49">
            <v>1351977.8141904273</v>
          </cell>
          <cell r="Q49">
            <v>1180053.5228163761</v>
          </cell>
          <cell r="R49">
            <v>876264.64576745394</v>
          </cell>
          <cell r="S49">
            <v>1768116.1202179447</v>
          </cell>
          <cell r="T49">
            <v>422023.46949608997</v>
          </cell>
          <cell r="U49">
            <v>588488.24337494338</v>
          </cell>
          <cell r="V49">
            <v>719150.76986234263</v>
          </cell>
          <cell r="W49">
            <v>365167.61798794661</v>
          </cell>
          <cell r="X49">
            <v>0</v>
          </cell>
          <cell r="Y49">
            <v>0</v>
          </cell>
          <cell r="Z49">
            <v>20969658.682258409</v>
          </cell>
          <cell r="AA49">
            <v>2089.6999999999998</v>
          </cell>
          <cell r="AB49">
            <v>5999.2520000000004</v>
          </cell>
          <cell r="AC49">
            <v>275.39999999999998</v>
          </cell>
          <cell r="AD49">
            <v>0</v>
          </cell>
          <cell r="AE49"/>
          <cell r="AF49"/>
          <cell r="AG49"/>
          <cell r="AH49">
            <v>8364.3520000000008</v>
          </cell>
          <cell r="AI49">
            <v>20978023.03425841</v>
          </cell>
          <cell r="AJ49">
            <v>179306.70164398424</v>
          </cell>
          <cell r="AK49">
            <v>214038.37640336831</v>
          </cell>
          <cell r="AL49">
            <v>209621.36768999998</v>
          </cell>
          <cell r="AM49"/>
          <cell r="AN49">
            <v>602966.44573735259</v>
          </cell>
          <cell r="AO49">
            <v>1427418.9780000001</v>
          </cell>
          <cell r="AP49">
            <v>8558.36</v>
          </cell>
          <cell r="AQ49"/>
          <cell r="AR49"/>
          <cell r="AS49">
            <v>1435977.3380000002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140389.45399999997</v>
          </cell>
          <cell r="BD49">
            <v>0</v>
          </cell>
          <cell r="BE49">
            <v>573859.33299999998</v>
          </cell>
          <cell r="BF49">
            <v>372144.26899999997</v>
          </cell>
          <cell r="BG49">
            <v>0</v>
          </cell>
          <cell r="BH49"/>
          <cell r="BI49"/>
          <cell r="BJ49">
            <v>1086393.0559999999</v>
          </cell>
        </row>
        <row r="50">
          <cell r="F50">
            <v>17547100.771014228</v>
          </cell>
          <cell r="G50">
            <v>1667072.4793563527</v>
          </cell>
          <cell r="H50">
            <v>345223.82528781262</v>
          </cell>
          <cell r="I50">
            <v>511360.4754238741</v>
          </cell>
          <cell r="J50">
            <v>400272.38153737097</v>
          </cell>
          <cell r="K50">
            <v>1553942.6079286423</v>
          </cell>
          <cell r="L50">
            <v>1423430.4896534667</v>
          </cell>
          <cell r="M50">
            <v>109795.70344648324</v>
          </cell>
          <cell r="N50">
            <v>804777.46114482288</v>
          </cell>
          <cell r="O50">
            <v>502544.99168629083</v>
          </cell>
          <cell r="P50">
            <v>1559352.3608095734</v>
          </cell>
          <cell r="Q50">
            <v>1431635.989183624</v>
          </cell>
          <cell r="R50">
            <v>657343.78523254592</v>
          </cell>
          <cell r="S50">
            <v>2600303.4897820586</v>
          </cell>
          <cell r="T50">
            <v>934598.52850390971</v>
          </cell>
          <cell r="U50">
            <v>2223726.6106250589</v>
          </cell>
          <cell r="V50">
            <v>182059.96613765787</v>
          </cell>
          <cell r="W50">
            <v>121902.44101205328</v>
          </cell>
          <cell r="X50">
            <v>0</v>
          </cell>
          <cell r="Y50">
            <v>0</v>
          </cell>
          <cell r="Z50">
            <v>17029343.586751569</v>
          </cell>
          <cell r="AA50">
            <v>400706.891</v>
          </cell>
          <cell r="AB50">
            <v>-5999.2520000000004</v>
          </cell>
          <cell r="AC50">
            <v>48253.438000000002</v>
          </cell>
          <cell r="AD50">
            <v>184994.86800000002</v>
          </cell>
          <cell r="AE50"/>
          <cell r="AF50"/>
          <cell r="AG50"/>
          <cell r="AH50">
            <v>627955.94500000007</v>
          </cell>
          <cell r="AI50">
            <v>17657299.531751558</v>
          </cell>
          <cell r="AJ50">
            <v>-16871.408643984178</v>
          </cell>
          <cell r="AK50">
            <v>-341058.78040336794</v>
          </cell>
          <cell r="AL50">
            <v>-490689.07768999808</v>
          </cell>
          <cell r="AM50"/>
          <cell r="AN50">
            <v>-848619.26673735026</v>
          </cell>
          <cell r="AO50">
            <v>483503.69900000095</v>
          </cell>
          <cell r="AP50">
            <v>-8558.36</v>
          </cell>
          <cell r="AQ50"/>
          <cell r="AR50"/>
          <cell r="AS50">
            <v>474945.33900000085</v>
          </cell>
          <cell r="AT50">
            <v>39621.019</v>
          </cell>
          <cell r="AU50">
            <v>13574.650000000001</v>
          </cell>
          <cell r="AV50">
            <v>613911.56200000003</v>
          </cell>
          <cell r="AW50"/>
          <cell r="AX50"/>
          <cell r="AY50"/>
          <cell r="AZ50"/>
          <cell r="BA50">
            <v>667107.23100000003</v>
          </cell>
          <cell r="BB50">
            <v>0</v>
          </cell>
          <cell r="BC50">
            <v>-122905.05399999997</v>
          </cell>
          <cell r="BD50">
            <v>750000</v>
          </cell>
          <cell r="BE50">
            <v>-573859.33299999998</v>
          </cell>
          <cell r="BF50">
            <v>-372144.26899999997</v>
          </cell>
          <cell r="BG50">
            <v>-84723.40800000001</v>
          </cell>
          <cell r="BH50"/>
          <cell r="BI50"/>
          <cell r="BJ50">
            <v>-403632.0639999999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23">
        <row r="6">
          <cell r="F6" t="str">
            <v>합계</v>
          </cell>
        </row>
      </sheetData>
      <sheetData sheetId="24"/>
      <sheetData sheetId="25">
        <row r="6">
          <cell r="F6" t="str">
            <v>합계</v>
          </cell>
        </row>
      </sheetData>
      <sheetData sheetId="26">
        <row r="6">
          <cell r="F6" t="str">
            <v>합계</v>
          </cell>
        </row>
      </sheetData>
      <sheetData sheetId="27"/>
      <sheetData sheetId="28">
        <row r="6">
          <cell r="F6" t="str">
            <v>합계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5">
          <cell r="O5">
            <v>214908</v>
          </cell>
          <cell r="T5">
            <v>276000</v>
          </cell>
          <cell r="U5">
            <v>215288</v>
          </cell>
        </row>
        <row r="9">
          <cell r="E9">
            <v>253.57857447859021</v>
          </cell>
          <cell r="F9">
            <v>256.21293251065572</v>
          </cell>
          <cell r="G9">
            <v>100546.81618843522</v>
          </cell>
          <cell r="H9">
            <v>100336.22913736757</v>
          </cell>
        </row>
        <row r="10">
          <cell r="E10">
            <v>34.347025544036455</v>
          </cell>
          <cell r="F10">
            <v>45.928804185977256</v>
          </cell>
          <cell r="G10">
            <v>93977.21542726364</v>
          </cell>
          <cell r="H10">
            <v>93897.567130926502</v>
          </cell>
        </row>
        <row r="11">
          <cell r="E11">
            <v>0</v>
          </cell>
          <cell r="F11">
            <v>0</v>
          </cell>
        </row>
        <row r="12">
          <cell r="E12">
            <v>45.218733906542738</v>
          </cell>
          <cell r="F12">
            <v>45.525877491763907</v>
          </cell>
          <cell r="G12">
            <v>63632.12296270168</v>
          </cell>
          <cell r="H12">
            <v>61444.28008285079</v>
          </cell>
        </row>
        <row r="13">
          <cell r="E13">
            <v>30.21791637034466</v>
          </cell>
          <cell r="F13">
            <v>31.496761079159469</v>
          </cell>
          <cell r="G13">
            <v>40669.981448825536</v>
          </cell>
          <cell r="H13">
            <v>39232.493219181124</v>
          </cell>
        </row>
        <row r="14">
          <cell r="E14">
            <v>0</v>
          </cell>
          <cell r="F14">
            <v>4.7518007705622881E-2</v>
          </cell>
        </row>
        <row r="15">
          <cell r="E15">
            <v>363.36225029951407</v>
          </cell>
          <cell r="F15">
            <v>379.21189327526196</v>
          </cell>
        </row>
        <row r="16">
          <cell r="E16">
            <v>821.29375577356495</v>
          </cell>
          <cell r="F16">
            <v>791.23719860126175</v>
          </cell>
          <cell r="G16">
            <v>13138.766612091016</v>
          </cell>
          <cell r="H16">
            <v>12926.970004576116</v>
          </cell>
        </row>
        <row r="17">
          <cell r="E17">
            <v>902.37902341827055</v>
          </cell>
          <cell r="F17">
            <v>916.05788455525146</v>
          </cell>
          <cell r="G17">
            <v>15887.350800073025</v>
          </cell>
          <cell r="H17">
            <v>15366.081535555548</v>
          </cell>
        </row>
        <row r="19">
          <cell r="E19">
            <v>3.087812819611087</v>
          </cell>
          <cell r="F19">
            <v>3.1016980242708514</v>
          </cell>
        </row>
        <row r="20">
          <cell r="Q20">
            <v>60524.662273837093</v>
          </cell>
          <cell r="R20">
            <v>61242.149152195358</v>
          </cell>
        </row>
        <row r="21">
          <cell r="Q21">
            <v>18779.575702363923</v>
          </cell>
          <cell r="R21">
            <v>19557.272586409072</v>
          </cell>
        </row>
        <row r="22">
          <cell r="Q22">
            <v>217.39130434782609</v>
          </cell>
          <cell r="R22">
            <v>222.60755765257701</v>
          </cell>
        </row>
        <row r="50">
          <cell r="Q50">
            <v>87135.620706087313</v>
          </cell>
          <cell r="R50">
            <v>90745.057103504761</v>
          </cell>
        </row>
        <row r="56">
          <cell r="L56">
            <v>-666473.2033661051</v>
          </cell>
        </row>
        <row r="61">
          <cell r="T61">
            <v>101693.23366841172</v>
          </cell>
          <cell r="U61">
            <v>98207.724138894569</v>
          </cell>
        </row>
        <row r="80">
          <cell r="H80">
            <v>636947.33000000007</v>
          </cell>
          <cell r="I80">
            <v>717900.11300000001</v>
          </cell>
          <cell r="L80">
            <v>-80952.782999999908</v>
          </cell>
        </row>
        <row r="85">
          <cell r="H85">
            <v>388323.00401790108</v>
          </cell>
          <cell r="I85">
            <v>442311.27613000001</v>
          </cell>
          <cell r="L85">
            <v>-53988.272112098959</v>
          </cell>
          <cell r="Q85">
            <v>101693.23366841172</v>
          </cell>
          <cell r="R85">
            <v>98207.724138894569</v>
          </cell>
        </row>
        <row r="86">
          <cell r="H86">
            <v>2992630.8435836337</v>
          </cell>
          <cell r="I86">
            <v>551859.14500999823</v>
          </cell>
          <cell r="K86">
            <v>-748422.54821604025</v>
          </cell>
          <cell r="M86">
            <v>-890934.89187938999</v>
          </cell>
        </row>
        <row r="89">
          <cell r="Q89">
            <v>79521.629280548848</v>
          </cell>
          <cell r="R89">
            <v>81022.029296257009</v>
          </cell>
        </row>
        <row r="90">
          <cell r="Q90">
            <v>22171.60438786287</v>
          </cell>
          <cell r="R90">
            <v>17185.69484263756</v>
          </cell>
        </row>
      </sheetData>
      <sheetData sheetId="1">
        <row r="5">
          <cell r="T5">
            <v>96000</v>
          </cell>
          <cell r="U5">
            <v>79021.5</v>
          </cell>
        </row>
        <row r="9">
          <cell r="E9">
            <v>282.65119791666666</v>
          </cell>
          <cell r="F9">
            <v>271.33267591479512</v>
          </cell>
          <cell r="G9">
            <v>100000</v>
          </cell>
          <cell r="H9">
            <v>99852.788875809871</v>
          </cell>
        </row>
        <row r="10">
          <cell r="E10">
            <v>6.2562500000000005</v>
          </cell>
          <cell r="F10">
            <v>27.5923196010711</v>
          </cell>
          <cell r="G10">
            <v>98000</v>
          </cell>
          <cell r="H10">
            <v>99126.995478620636</v>
          </cell>
        </row>
        <row r="11">
          <cell r="E11">
            <v>0</v>
          </cell>
          <cell r="F11">
            <v>0</v>
          </cell>
        </row>
        <row r="12">
          <cell r="E12">
            <v>52.103541666666672</v>
          </cell>
          <cell r="F12">
            <v>52.207585755083613</v>
          </cell>
          <cell r="G12">
            <v>64171.277944157664</v>
          </cell>
          <cell r="H12">
            <v>61328.445960407225</v>
          </cell>
        </row>
        <row r="13">
          <cell r="E13">
            <v>30.358333333333338</v>
          </cell>
          <cell r="F13">
            <v>35.072889245075416</v>
          </cell>
          <cell r="G13">
            <v>47201.159758440845</v>
          </cell>
          <cell r="H13">
            <v>42379.270204661902</v>
          </cell>
        </row>
        <row r="14">
          <cell r="E14">
            <v>0</v>
          </cell>
          <cell r="F14">
            <v>0</v>
          </cell>
        </row>
        <row r="15">
          <cell r="E15">
            <v>371.3693229166667</v>
          </cell>
          <cell r="F15">
            <v>386.20547051602523</v>
          </cell>
        </row>
        <row r="16">
          <cell r="E16">
            <v>860.21076084214531</v>
          </cell>
          <cell r="F16">
            <v>820.32769159336181</v>
          </cell>
          <cell r="G16">
            <v>15809.29889530734</v>
          </cell>
          <cell r="H16">
            <v>14923.897096394174</v>
          </cell>
        </row>
        <row r="17">
          <cell r="E17">
            <v>875.45253725172392</v>
          </cell>
          <cell r="F17">
            <v>888.78177851559292</v>
          </cell>
          <cell r="G17">
            <v>14173.647710907113</v>
          </cell>
          <cell r="H17">
            <v>13425.656906966004</v>
          </cell>
        </row>
        <row r="19">
          <cell r="E19">
            <v>3.1703125000000001</v>
          </cell>
          <cell r="F19">
            <v>3.1661107612850694</v>
          </cell>
        </row>
        <row r="20">
          <cell r="Q20">
            <v>62349.264485905602</v>
          </cell>
          <cell r="R20">
            <v>61555.069577219328</v>
          </cell>
        </row>
        <row r="21">
          <cell r="Q21">
            <v>18702.268037196725</v>
          </cell>
          <cell r="R21">
            <v>19096.671220765671</v>
          </cell>
        </row>
        <row r="22">
          <cell r="Q22">
            <v>268.4375</v>
          </cell>
          <cell r="R22">
            <v>212.6589832147105</v>
          </cell>
        </row>
        <row r="50">
          <cell r="Q50">
            <v>88139.916943109114</v>
          </cell>
          <cell r="R50">
            <v>89477.383364817681</v>
          </cell>
        </row>
        <row r="56">
          <cell r="L56">
            <v>-105137.74539698962</v>
          </cell>
        </row>
        <row r="61">
          <cell r="T61">
            <v>100069.31703271811</v>
          </cell>
          <cell r="U61">
            <v>94672.854300716004</v>
          </cell>
        </row>
        <row r="80">
          <cell r="H80">
            <v>211514.75</v>
          </cell>
          <cell r="I80">
            <v>244348.74900000001</v>
          </cell>
          <cell r="L80">
            <v>-32833.999000000011</v>
          </cell>
        </row>
        <row r="85">
          <cell r="H85">
            <v>105852.09012835557</v>
          </cell>
          <cell r="I85">
            <v>92148.849749999994</v>
          </cell>
          <cell r="L85">
            <v>13703.240378355584</v>
          </cell>
          <cell r="Q85">
            <v>100069.31703271811</v>
          </cell>
          <cell r="R85">
            <v>94672.854300716004</v>
          </cell>
        </row>
        <row r="86">
          <cell r="H86">
            <v>827855.5684741094</v>
          </cell>
          <cell r="I86">
            <v>72705.947010001051</v>
          </cell>
          <cell r="K86">
            <v>-423959.60338291578</v>
          </cell>
          <cell r="M86">
            <v>-206921.51406255714</v>
          </cell>
        </row>
        <row r="89">
          <cell r="Q89">
            <v>81319.970023102331</v>
          </cell>
          <cell r="R89">
            <v>80864.399781199711</v>
          </cell>
        </row>
        <row r="90">
          <cell r="Q90">
            <v>18749.347009615783</v>
          </cell>
          <cell r="R90">
            <v>13808.454519516294</v>
          </cell>
        </row>
      </sheetData>
      <sheetData sheetId="2">
        <row r="5">
          <cell r="T5">
            <v>126500</v>
          </cell>
          <cell r="U5">
            <v>89744.5</v>
          </cell>
        </row>
        <row r="9">
          <cell r="E9">
            <v>229.24206763708227</v>
          </cell>
          <cell r="F9">
            <v>230.08374964507831</v>
          </cell>
          <cell r="G9">
            <v>100000</v>
          </cell>
          <cell r="H9">
            <v>100000.01432479186</v>
          </cell>
        </row>
        <row r="10">
          <cell r="E10">
            <v>57.139676285802871</v>
          </cell>
          <cell r="F10">
            <v>81.762176074647712</v>
          </cell>
          <cell r="G10">
            <v>92432.50335781074</v>
          </cell>
          <cell r="H10">
            <v>92196.443718221111</v>
          </cell>
        </row>
        <row r="11">
          <cell r="E11">
            <v>0</v>
          </cell>
          <cell r="F11">
            <v>0</v>
          </cell>
        </row>
        <row r="12">
          <cell r="E12">
            <v>41.940241566844229</v>
          </cell>
          <cell r="F12">
            <v>34.292835087992771</v>
          </cell>
          <cell r="G12">
            <v>62722.737787560924</v>
          </cell>
          <cell r="H12">
            <v>61043.971246229412</v>
          </cell>
        </row>
        <row r="13">
          <cell r="E13">
            <v>31.400829393004962</v>
          </cell>
          <cell r="F13">
            <v>29.445030258828513</v>
          </cell>
          <cell r="G13">
            <v>35408.91318555794</v>
          </cell>
          <cell r="H13">
            <v>35540.340128285497</v>
          </cell>
        </row>
        <row r="14">
          <cell r="E14">
            <v>0</v>
          </cell>
          <cell r="F14">
            <v>0.11370861332724633</v>
          </cell>
        </row>
        <row r="15">
          <cell r="E15">
            <v>359.72281488273438</v>
          </cell>
          <cell r="F15">
            <v>375.69749967987457</v>
          </cell>
        </row>
        <row r="16">
          <cell r="E16">
            <v>798.47070002101157</v>
          </cell>
          <cell r="F16">
            <v>781.23042919100078</v>
          </cell>
          <cell r="G16">
            <v>10912.451938769338</v>
          </cell>
          <cell r="H16">
            <v>11020.269855106244</v>
          </cell>
        </row>
        <row r="17">
          <cell r="E17">
            <v>912.4937303342075</v>
          </cell>
          <cell r="F17">
            <v>907.6050951301936</v>
          </cell>
          <cell r="G17">
            <v>17625.036748986877</v>
          </cell>
          <cell r="H17">
            <v>17572.777515403308</v>
          </cell>
        </row>
        <row r="19">
          <cell r="E19">
            <v>3.2006825155150991</v>
          </cell>
          <cell r="F19">
            <v>3.1004937060523226</v>
          </cell>
        </row>
        <row r="20">
          <cell r="Q20">
            <v>59422.315604792544</v>
          </cell>
          <cell r="R20">
            <v>61216.918888523913</v>
          </cell>
        </row>
        <row r="21">
          <cell r="Q21">
            <v>19312.189630023186</v>
          </cell>
          <cell r="R21">
            <v>20276.576348563889</v>
          </cell>
        </row>
        <row r="22">
          <cell r="Q22">
            <v>192.72727272727272</v>
          </cell>
          <cell r="R22">
            <v>221.31271538885514</v>
          </cell>
        </row>
        <row r="50">
          <cell r="Q50">
            <v>86644.449732069028</v>
          </cell>
          <cell r="R50">
            <v>92116.211316300803</v>
          </cell>
        </row>
        <row r="56">
          <cell r="L56">
            <v>-382306.11551033187</v>
          </cell>
        </row>
        <row r="61">
          <cell r="T61">
            <v>100505.81333866165</v>
          </cell>
          <cell r="U61">
            <v>99815.877095532327</v>
          </cell>
        </row>
        <row r="80">
          <cell r="H80">
            <v>314297.33</v>
          </cell>
          <cell r="I80">
            <v>347484.96399999998</v>
          </cell>
          <cell r="L80">
            <v>-33187.633999999962</v>
          </cell>
        </row>
        <row r="85">
          <cell r="H85">
            <v>193813.6459361981</v>
          </cell>
          <cell r="I85">
            <v>272828.25850999996</v>
          </cell>
          <cell r="L85">
            <v>-79014.61257380186</v>
          </cell>
          <cell r="Q85">
            <v>100505.81333866165</v>
          </cell>
          <cell r="R85">
            <v>99815.877095532327</v>
          </cell>
        </row>
        <row r="86">
          <cell r="H86">
            <v>1245351.5202977699</v>
          </cell>
          <cell r="I86">
            <v>179443.82500000187</v>
          </cell>
          <cell r="K86">
            <v>-61917.983171519852</v>
          </cell>
          <cell r="M86">
            <v>-509481.35004211543</v>
          </cell>
        </row>
        <row r="89">
          <cell r="Q89">
            <v>78927.232507543013</v>
          </cell>
          <cell r="R89">
            <v>81714.807952476651</v>
          </cell>
        </row>
        <row r="90">
          <cell r="Q90">
            <v>21578.580831118641</v>
          </cell>
          <cell r="R90">
            <v>18101.069143055676</v>
          </cell>
        </row>
      </sheetData>
      <sheetData sheetId="3" refreshError="1"/>
      <sheetData sheetId="4" refreshError="1"/>
      <sheetData sheetId="5" refreshError="1"/>
      <sheetData sheetId="6">
        <row r="5">
          <cell r="T5">
            <v>53500</v>
          </cell>
          <cell r="U5">
            <v>46522</v>
          </cell>
        </row>
        <row r="9">
          <cell r="E9">
            <v>258.95420560747664</v>
          </cell>
          <cell r="F9">
            <v>281.12317214825009</v>
          </cell>
          <cell r="G9">
            <v>102762.39799914105</v>
          </cell>
          <cell r="H9">
            <v>101656.81789586513</v>
          </cell>
        </row>
        <row r="10">
          <cell r="E10">
            <v>30.86</v>
          </cell>
          <cell r="F10">
            <v>7.7111363978575582</v>
          </cell>
          <cell r="G10">
            <v>99276.611286424668</v>
          </cell>
          <cell r="H10">
            <v>97100.992398468399</v>
          </cell>
        </row>
        <row r="11">
          <cell r="E11">
            <v>0</v>
          </cell>
          <cell r="F11">
            <v>0</v>
          </cell>
        </row>
        <row r="12">
          <cell r="E12">
            <v>40.616635514018689</v>
          </cell>
          <cell r="F12">
            <v>55.927698595366664</v>
          </cell>
          <cell r="G12">
            <v>64611.358082641884</v>
          </cell>
          <cell r="H12">
            <v>62101.296281719486</v>
          </cell>
        </row>
        <row r="13">
          <cell r="E13">
            <v>27.168971962616823</v>
          </cell>
          <cell r="F13">
            <v>29.413292821957882</v>
          </cell>
          <cell r="G13">
            <v>41952.075622273893</v>
          </cell>
          <cell r="H13">
            <v>40027.882369022431</v>
          </cell>
        </row>
        <row r="14">
          <cell r="E14">
            <v>0</v>
          </cell>
          <cell r="F14">
            <v>0</v>
          </cell>
        </row>
        <row r="15">
          <cell r="E15">
            <v>357.59981308411216</v>
          </cell>
          <cell r="F15">
            <v>374.17529996343222</v>
          </cell>
        </row>
        <row r="16">
          <cell r="E16">
            <v>805.42616822429909</v>
          </cell>
          <cell r="F16">
            <v>761.37797924240135</v>
          </cell>
          <cell r="G16">
            <v>13239.466113409901</v>
          </cell>
          <cell r="H16">
            <v>13068.277094085468</v>
          </cell>
        </row>
        <row r="17">
          <cell r="E17">
            <v>926.77962616822435</v>
          </cell>
          <cell r="F17">
            <v>978.50966181247168</v>
          </cell>
          <cell r="G17">
            <v>14746.70370496443</v>
          </cell>
          <cell r="H17">
            <v>14392.317671720828</v>
          </cell>
        </row>
        <row r="19">
          <cell r="E19">
            <v>2.6728971962616823</v>
          </cell>
          <cell r="F19">
            <v>2.9951059390393433</v>
          </cell>
        </row>
        <row r="20">
          <cell r="Q20">
            <v>59857.092951884923</v>
          </cell>
          <cell r="R20">
            <v>60761.757254404263</v>
          </cell>
        </row>
        <row r="21">
          <cell r="Q21">
            <v>17658.93783333879</v>
          </cell>
          <cell r="R21">
            <v>18946.558476198672</v>
          </cell>
        </row>
        <row r="22">
          <cell r="Q22">
            <v>184.11214953271028</v>
          </cell>
          <cell r="R22">
            <v>241.93148916948095</v>
          </cell>
        </row>
        <row r="50">
          <cell r="Q50">
            <v>86494.885929624128</v>
          </cell>
          <cell r="R50">
            <v>90239.801307836256</v>
          </cell>
        </row>
        <row r="56">
          <cell r="L56">
            <v>-173950.19893463794</v>
          </cell>
        </row>
        <row r="61">
          <cell r="T61">
            <v>107414.81626168225</v>
          </cell>
          <cell r="U61">
            <v>101081.35510696511</v>
          </cell>
        </row>
        <row r="80">
          <cell r="H80">
            <v>111135.25</v>
          </cell>
          <cell r="I80">
            <v>126066.40000000001</v>
          </cell>
          <cell r="L80">
            <v>-14931.15000000002</v>
          </cell>
        </row>
        <row r="85">
          <cell r="H85">
            <v>88657.267953347415</v>
          </cell>
          <cell r="I85">
            <v>77334.16786999999</v>
          </cell>
          <cell r="L85">
            <v>11323.100083347421</v>
          </cell>
          <cell r="Q85">
            <v>107414.81626168225</v>
          </cell>
          <cell r="R85">
            <v>101081.35510696511</v>
          </cell>
        </row>
        <row r="86">
          <cell r="H86">
            <v>919423.7548117619</v>
          </cell>
          <cell r="I86">
            <v>299709.37300000002</v>
          </cell>
          <cell r="K86">
            <v>-293980.26641850534</v>
          </cell>
          <cell r="M86">
            <v>-148175.86654196773</v>
          </cell>
        </row>
        <row r="89">
          <cell r="Q89">
            <v>77700.142934756426</v>
          </cell>
          <cell r="R89">
            <v>79950.247219772413</v>
          </cell>
        </row>
        <row r="90">
          <cell r="Q90">
            <v>29714.673326925826</v>
          </cell>
          <cell r="R90">
            <v>21131.107887192702</v>
          </cell>
        </row>
      </sheetData>
      <sheetData sheetId="7">
        <row r="2">
          <cell r="N2">
            <v>35000</v>
          </cell>
        </row>
        <row r="5">
          <cell r="T5">
            <v>35000</v>
          </cell>
          <cell r="U5">
            <v>29011</v>
          </cell>
        </row>
        <row r="9">
          <cell r="E9">
            <v>288</v>
          </cell>
          <cell r="F9">
            <v>291.54149691942303</v>
          </cell>
          <cell r="G9">
            <v>100000</v>
          </cell>
          <cell r="H9">
            <v>99693.691913984352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56</v>
          </cell>
          <cell r="F12">
            <v>48.334225725398426</v>
          </cell>
          <cell r="G12">
            <v>64099.999999999993</v>
          </cell>
          <cell r="H12">
            <v>60947.342256949945</v>
          </cell>
        </row>
        <row r="13">
          <cell r="E13">
            <v>30</v>
          </cell>
          <cell r="F13">
            <v>39.674341376105758</v>
          </cell>
          <cell r="G13">
            <v>46100</v>
          </cell>
          <cell r="H13">
            <v>41578.668945733996</v>
          </cell>
        </row>
        <row r="14">
          <cell r="E14">
            <v>0</v>
          </cell>
          <cell r="F14">
            <v>0</v>
          </cell>
        </row>
        <row r="15">
          <cell r="E15">
            <v>374</v>
          </cell>
          <cell r="F15">
            <v>379.55006402092721</v>
          </cell>
        </row>
        <row r="16">
          <cell r="E16">
            <v>846</v>
          </cell>
          <cell r="F16">
            <v>812.22971810140041</v>
          </cell>
          <cell r="G16">
            <v>15800</v>
          </cell>
          <cell r="H16">
            <v>14275.276372156459</v>
          </cell>
        </row>
        <row r="17">
          <cell r="E17">
            <v>875</v>
          </cell>
          <cell r="F17">
            <v>868.21756789316134</v>
          </cell>
          <cell r="G17">
            <v>15032.258064516131</v>
          </cell>
          <cell r="H17">
            <v>13616.373560045702</v>
          </cell>
        </row>
        <row r="19">
          <cell r="E19">
            <v>3.38</v>
          </cell>
          <cell r="F19">
            <v>3.1840877017863907</v>
          </cell>
        </row>
        <row r="20">
          <cell r="Q20">
            <v>63444.505806451612</v>
          </cell>
          <cell r="R20">
            <v>59952.901421539937</v>
          </cell>
        </row>
        <row r="21">
          <cell r="Q21">
            <v>17938.713030075189</v>
          </cell>
          <cell r="R21">
            <v>18786.323856400373</v>
          </cell>
        </row>
        <row r="22">
          <cell r="Q22">
            <v>228.57142857142856</v>
          </cell>
          <cell r="R22">
            <v>178.78886861941967</v>
          </cell>
        </row>
        <row r="50">
          <cell r="Q50">
            <v>87135.965494160148</v>
          </cell>
          <cell r="R50">
            <v>86097.417857019915</v>
          </cell>
        </row>
        <row r="56">
          <cell r="L56">
            <v>30117.353801080226</v>
          </cell>
        </row>
        <row r="80">
          <cell r="H80">
            <v>66568.859999999986</v>
          </cell>
          <cell r="I80">
            <v>76345.459000000003</v>
          </cell>
          <cell r="L80">
            <v>-9776.599000000002</v>
          </cell>
        </row>
        <row r="85">
          <cell r="H85">
            <v>30016.156888888891</v>
          </cell>
          <cell r="I85">
            <v>25664.710850000003</v>
          </cell>
          <cell r="L85">
            <v>4351.4460388888883</v>
          </cell>
          <cell r="Q85">
            <v>101770.10057142859</v>
          </cell>
          <cell r="R85">
            <v>97656.963565544109</v>
          </cell>
        </row>
        <row r="86">
          <cell r="H86">
            <v>415609.71081550617</v>
          </cell>
          <cell r="I86">
            <v>233331.85899999988</v>
          </cell>
          <cell r="K86">
            <v>-119326.21767771455</v>
          </cell>
          <cell r="M86">
            <v>-87643.834977760562</v>
          </cell>
        </row>
        <row r="89">
          <cell r="Q89">
            <v>81611.790265098229</v>
          </cell>
          <cell r="R89">
            <v>78918.014146559726</v>
          </cell>
        </row>
        <row r="92">
          <cell r="H92">
            <v>241206.43888942793</v>
          </cell>
          <cell r="I92">
            <v>54097.811275948043</v>
          </cell>
        </row>
      </sheetData>
      <sheetData sheetId="8">
        <row r="2">
          <cell r="N2">
            <v>26000</v>
          </cell>
        </row>
        <row r="5">
          <cell r="T5">
            <v>26000</v>
          </cell>
          <cell r="U5">
            <v>26297</v>
          </cell>
        </row>
        <row r="9">
          <cell r="E9">
            <v>281.05</v>
          </cell>
          <cell r="F9">
            <v>256.14888301714637</v>
          </cell>
          <cell r="G9">
            <v>100000</v>
          </cell>
          <cell r="H9">
            <v>99917.970566719247</v>
          </cell>
        </row>
        <row r="10">
          <cell r="E10">
            <v>23.1</v>
          </cell>
          <cell r="F10">
            <v>74.972970383606409</v>
          </cell>
          <cell r="G10">
            <v>98000</v>
          </cell>
          <cell r="H10">
            <v>99589.298055910418</v>
          </cell>
        </row>
        <row r="11">
          <cell r="E11">
            <v>0</v>
          </cell>
          <cell r="F11">
            <v>0</v>
          </cell>
        </row>
        <row r="12">
          <cell r="E12">
            <v>53.900000000000013</v>
          </cell>
          <cell r="F12">
            <v>42.848727521575491</v>
          </cell>
          <cell r="G12">
            <v>64399.999999999993</v>
          </cell>
          <cell r="H12">
            <v>61965.055714294445</v>
          </cell>
        </row>
        <row r="13">
          <cell r="E13">
            <v>26.950000000000006</v>
          </cell>
          <cell r="F13">
            <v>28.323598068661376</v>
          </cell>
          <cell r="G13">
            <v>47600</v>
          </cell>
          <cell r="H13">
            <v>41934.097328896969</v>
          </cell>
        </row>
        <row r="14">
          <cell r="E14">
            <v>0</v>
          </cell>
          <cell r="F14">
            <v>0</v>
          </cell>
        </row>
        <row r="15">
          <cell r="E15">
            <v>385.00000000000006</v>
          </cell>
          <cell r="F15">
            <v>402.29417899098968</v>
          </cell>
        </row>
        <row r="16">
          <cell r="E16">
            <v>903.10223234022885</v>
          </cell>
          <cell r="F16">
            <v>847.6782116108426</v>
          </cell>
          <cell r="G16">
            <v>16000</v>
          </cell>
          <cell r="H16">
            <v>15329.294041032492</v>
          </cell>
        </row>
        <row r="17">
          <cell r="E17">
            <v>833.63282985251885</v>
          </cell>
          <cell r="F17">
            <v>872.9821693342966</v>
          </cell>
          <cell r="G17">
            <v>14318.131256952169</v>
          </cell>
          <cell r="H17">
            <v>13940.814343667049</v>
          </cell>
        </row>
        <row r="19">
          <cell r="E19">
            <v>3.33</v>
          </cell>
          <cell r="F19">
            <v>3.1753944416986646</v>
          </cell>
        </row>
        <row r="20">
          <cell r="Q20">
            <v>64305.6799953765</v>
          </cell>
          <cell r="R20">
            <v>65040.842869634638</v>
          </cell>
        </row>
        <row r="21">
          <cell r="Q21">
            <v>18372.165457309013</v>
          </cell>
          <cell r="R21">
            <v>19349.208379272328</v>
          </cell>
        </row>
        <row r="22">
          <cell r="Q22">
            <v>461.53846153846155</v>
          </cell>
          <cell r="R22">
            <v>306.24932517203365</v>
          </cell>
        </row>
        <row r="50">
          <cell r="Q50">
            <v>90803.392470835592</v>
          </cell>
          <cell r="R50">
            <v>92863.285062540381</v>
          </cell>
        </row>
        <row r="56">
          <cell r="L56">
            <v>-54098.456654436333</v>
          </cell>
        </row>
        <row r="80">
          <cell r="H80">
            <v>59817.31</v>
          </cell>
          <cell r="I80">
            <v>72169.941999999995</v>
          </cell>
          <cell r="L80">
            <v>-12352.631999999998</v>
          </cell>
        </row>
        <row r="85">
          <cell r="H85">
            <v>35794.468461688899</v>
          </cell>
          <cell r="I85">
            <v>32540.027529999999</v>
          </cell>
          <cell r="L85">
            <v>3254.4409316888978</v>
          </cell>
          <cell r="Q85">
            <v>103615.12376695918</v>
          </cell>
          <cell r="R85">
            <v>92880.485454614594</v>
          </cell>
        </row>
        <row r="86">
          <cell r="H86">
            <v>237493.23523752415</v>
          </cell>
          <cell r="I86">
            <v>-104187.11198999977</v>
          </cell>
          <cell r="K86">
            <v>-282288.78369972558</v>
          </cell>
          <cell r="M86">
            <v>3805.0841949487003</v>
          </cell>
        </row>
        <row r="89">
          <cell r="Q89">
            <v>83139.383914223989</v>
          </cell>
          <cell r="R89">
            <v>84696.300574078996</v>
          </cell>
        </row>
        <row r="92">
          <cell r="H92">
            <v>105587.74317608814</v>
          </cell>
          <cell r="I92">
            <v>-258707.31855052745</v>
          </cell>
        </row>
      </sheetData>
      <sheetData sheetId="9">
        <row r="2">
          <cell r="N2">
            <v>21000</v>
          </cell>
        </row>
        <row r="5">
          <cell r="T5">
            <v>21000</v>
          </cell>
          <cell r="U5">
            <v>14177</v>
          </cell>
        </row>
        <row r="9">
          <cell r="E9">
            <v>295.48642857142858</v>
          </cell>
          <cell r="F9">
            <v>290.28545108461429</v>
          </cell>
          <cell r="G9">
            <v>100000</v>
          </cell>
          <cell r="H9">
            <v>100001.78108621786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40.787619047619046</v>
          </cell>
          <cell r="F12">
            <v>54.831491883350061</v>
          </cell>
          <cell r="G12">
            <v>64300</v>
          </cell>
          <cell r="H12">
            <v>61165.668233018558</v>
          </cell>
        </row>
        <row r="13">
          <cell r="E13">
            <v>32.747619047619054</v>
          </cell>
          <cell r="F13">
            <v>33.456978882344494</v>
          </cell>
          <cell r="G13">
            <v>48200.000000000007</v>
          </cell>
          <cell r="H13">
            <v>44210.04265330459</v>
          </cell>
        </row>
        <row r="14">
          <cell r="E14">
            <v>0</v>
          </cell>
          <cell r="F14">
            <v>0</v>
          </cell>
        </row>
        <row r="15">
          <cell r="E15">
            <v>369.02166666666665</v>
          </cell>
          <cell r="F15">
            <v>378.57392185030886</v>
          </cell>
        </row>
        <row r="16">
          <cell r="E16">
            <v>864.26547619047619</v>
          </cell>
          <cell r="F16">
            <v>768.06780634966162</v>
          </cell>
          <cell r="G16">
            <v>16333.333333333328</v>
          </cell>
          <cell r="H16">
            <v>15712.084215527124</v>
          </cell>
        </row>
        <row r="17">
          <cell r="E17">
            <v>858.28523809523813</v>
          </cell>
          <cell r="F17">
            <v>948.60041660680963</v>
          </cell>
          <cell r="G17">
            <v>12580.645161290322</v>
          </cell>
          <cell r="H17">
            <v>11714.725457287233</v>
          </cell>
        </row>
        <row r="19">
          <cell r="E19">
            <v>2.87</v>
          </cell>
          <cell r="F19">
            <v>3.113564861370492</v>
          </cell>
        </row>
        <row r="20">
          <cell r="Q20">
            <v>60730.240138760877</v>
          </cell>
          <cell r="R20">
            <v>59744.12993822727</v>
          </cell>
        </row>
        <row r="21">
          <cell r="Q21">
            <v>20492.89879432624</v>
          </cell>
          <cell r="R21">
            <v>19548.480821721019</v>
          </cell>
        </row>
        <row r="22">
          <cell r="Q22">
            <v>231.42857142857142</v>
          </cell>
          <cell r="R22">
            <v>194.09251544318346</v>
          </cell>
        </row>
        <row r="50">
          <cell r="Q50">
            <v>88539.245544114834</v>
          </cell>
          <cell r="R50">
            <v>89478.402025571035</v>
          </cell>
        </row>
        <row r="56">
          <cell r="L56">
            <v>-13074.911954833395</v>
          </cell>
        </row>
        <row r="80">
          <cell r="H80">
            <v>49212.32</v>
          </cell>
          <cell r="I80">
            <v>57641.808999999994</v>
          </cell>
          <cell r="L80">
            <v>-8429.4889999999978</v>
          </cell>
        </row>
        <row r="85">
          <cell r="H85">
            <v>21509.885333333332</v>
          </cell>
          <cell r="I85">
            <v>17879.074579999997</v>
          </cell>
          <cell r="L85">
            <v>3630.8107533333355</v>
          </cell>
          <cell r="Q85">
            <v>96205.726057142849</v>
          </cell>
          <cell r="R85">
            <v>90400.804482114632</v>
          </cell>
        </row>
        <row r="86">
          <cell r="H86">
            <v>90273.885440254933</v>
          </cell>
          <cell r="I86">
            <v>-62289.172000000108</v>
          </cell>
          <cell r="K86">
            <v>-80816.118167542823</v>
          </cell>
          <cell r="M86">
            <v>-53873.349071212346</v>
          </cell>
        </row>
        <row r="89">
          <cell r="Q89">
            <v>81454.567504515682</v>
          </cell>
          <cell r="R89">
            <v>79486.703275391483</v>
          </cell>
        </row>
        <row r="92">
          <cell r="H92">
            <v>-8646.6814542235516</v>
          </cell>
          <cell r="I92">
            <v>-143412.19085338656</v>
          </cell>
        </row>
      </sheetData>
      <sheetData sheetId="10">
        <row r="2">
          <cell r="N2">
            <v>14000</v>
          </cell>
        </row>
        <row r="5">
          <cell r="T5">
            <v>14000</v>
          </cell>
          <cell r="U5">
            <v>9536.5</v>
          </cell>
        </row>
        <row r="9">
          <cell r="E9">
            <v>253</v>
          </cell>
          <cell r="F9">
            <v>222.9417723010983</v>
          </cell>
          <cell r="G9">
            <v>100000</v>
          </cell>
          <cell r="H9">
            <v>99999.998558111067</v>
          </cell>
        </row>
        <row r="10">
          <cell r="E10">
            <v>0</v>
          </cell>
          <cell r="F10">
            <v>21.112456469327615</v>
          </cell>
          <cell r="G10">
            <v>0</v>
          </cell>
          <cell r="H10">
            <v>94499.994924682294</v>
          </cell>
        </row>
        <row r="11">
          <cell r="E11">
            <v>0</v>
          </cell>
          <cell r="F11">
            <v>0</v>
          </cell>
        </row>
        <row r="12">
          <cell r="E12">
            <v>56</v>
          </cell>
          <cell r="F12">
            <v>86.728748995445997</v>
          </cell>
          <cell r="G12">
            <v>63800</v>
          </cell>
          <cell r="H12">
            <v>61256.706157634464</v>
          </cell>
        </row>
        <row r="13">
          <cell r="E13">
            <v>34</v>
          </cell>
          <cell r="F13">
            <v>42.181094026252367</v>
          </cell>
          <cell r="G13">
            <v>47599.999999999993</v>
          </cell>
          <cell r="H13">
            <v>43399.757137632092</v>
          </cell>
        </row>
        <row r="14">
          <cell r="E14">
            <v>0</v>
          </cell>
          <cell r="F14">
            <v>0</v>
          </cell>
        </row>
        <row r="15">
          <cell r="E15">
            <v>343</v>
          </cell>
          <cell r="F15">
            <v>372.96407179212429</v>
          </cell>
        </row>
        <row r="16">
          <cell r="E16">
            <v>810</v>
          </cell>
          <cell r="F16">
            <v>846.41200107152406</v>
          </cell>
          <cell r="G16">
            <v>14600</v>
          </cell>
          <cell r="H16">
            <v>14650.313198652007</v>
          </cell>
        </row>
        <row r="17">
          <cell r="E17">
            <v>980</v>
          </cell>
          <cell r="F17">
            <v>908.09429413340422</v>
          </cell>
          <cell r="G17">
            <v>14121.586343102315</v>
          </cell>
          <cell r="H17">
            <v>14128.388314046728</v>
          </cell>
        </row>
        <row r="19">
          <cell r="E19">
            <v>2.8</v>
          </cell>
          <cell r="F19">
            <v>3.1623680685775502</v>
          </cell>
        </row>
        <row r="20">
          <cell r="Q20">
            <v>58406.354616240264</v>
          </cell>
          <cell r="R20">
            <v>59419.885882668088</v>
          </cell>
        </row>
        <row r="21">
          <cell r="Q21">
            <v>18538.257067669176</v>
          </cell>
          <cell r="R21">
            <v>18677.056308598982</v>
          </cell>
        </row>
        <row r="22">
          <cell r="Q22">
            <v>65</v>
          </cell>
          <cell r="R22">
            <v>82.019180283953929</v>
          </cell>
        </row>
        <row r="50">
          <cell r="Q50">
            <v>85104.34811248086</v>
          </cell>
          <cell r="R50">
            <v>90455.104634342337</v>
          </cell>
        </row>
        <row r="56">
          <cell r="L56">
            <v>-49935.943450272425</v>
          </cell>
        </row>
        <row r="80">
          <cell r="H80">
            <v>35916.26</v>
          </cell>
          <cell r="I80">
            <v>38191.538999999997</v>
          </cell>
          <cell r="L80">
            <v>-2275.2789999999995</v>
          </cell>
        </row>
        <row r="85">
          <cell r="H85">
            <v>18531.579444444447</v>
          </cell>
          <cell r="I85">
            <v>16065.036789999998</v>
          </cell>
          <cell r="L85">
            <v>2466.5426544444472</v>
          </cell>
          <cell r="Q85">
            <v>95027.675000000003</v>
          </cell>
          <cell r="R85">
            <v>96819.911063487802</v>
          </cell>
        </row>
        <row r="86">
          <cell r="H86">
            <v>84478.736980823393</v>
          </cell>
          <cell r="I86">
            <v>5850.3719999998939</v>
          </cell>
          <cell r="K86">
            <v>16726.043062499881</v>
          </cell>
          <cell r="M86">
            <v>-45609.728247495659</v>
          </cell>
        </row>
        <row r="89">
          <cell r="Q89">
            <v>77009.611683909432</v>
          </cell>
          <cell r="R89">
            <v>78178.96137155102</v>
          </cell>
        </row>
        <row r="92">
          <cell r="H92">
            <v>19339.222131288872</v>
          </cell>
          <cell r="I92">
            <v>-52509.406787746171</v>
          </cell>
        </row>
      </sheetData>
      <sheetData sheetId="11">
        <row r="2">
          <cell r="N2">
            <v>19000</v>
          </cell>
        </row>
        <row r="5">
          <cell r="T5">
            <v>19000</v>
          </cell>
          <cell r="U5">
            <v>17712</v>
          </cell>
        </row>
        <row r="9">
          <cell r="E9">
            <v>196.6831105263158</v>
          </cell>
          <cell r="F9">
            <v>191.50220415537518</v>
          </cell>
          <cell r="G9">
            <v>99999.999999999985</v>
          </cell>
          <cell r="H9">
            <v>100000.00058964211</v>
          </cell>
        </row>
        <row r="10">
          <cell r="E10">
            <v>158.11779473684209</v>
          </cell>
          <cell r="F10">
            <v>183.65459180216791</v>
          </cell>
          <cell r="G10">
            <v>92899.999999999985</v>
          </cell>
          <cell r="H10">
            <v>92232.53722375189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30.852252631578949</v>
          </cell>
          <cell r="F13">
            <v>31.065805103884326</v>
          </cell>
          <cell r="G13">
            <v>36500</v>
          </cell>
          <cell r="H13">
            <v>36393.879995901458</v>
          </cell>
        </row>
        <row r="14">
          <cell r="E14">
            <v>0</v>
          </cell>
          <cell r="F14">
            <v>0</v>
          </cell>
        </row>
        <row r="15">
          <cell r="E15">
            <v>385.65315789473686</v>
          </cell>
          <cell r="F15">
            <v>406.22260106142738</v>
          </cell>
        </row>
        <row r="16">
          <cell r="E16">
            <v>820</v>
          </cell>
          <cell r="F16">
            <v>881.86737804878032</v>
          </cell>
          <cell r="G16">
            <v>11711.806666666667</v>
          </cell>
          <cell r="H16">
            <v>11870.829183908592</v>
          </cell>
        </row>
        <row r="17">
          <cell r="E17">
            <v>900</v>
          </cell>
          <cell r="F17">
            <v>829.59914182475154</v>
          </cell>
          <cell r="G17">
            <v>18098.229077374235</v>
          </cell>
          <cell r="H17">
            <v>18215.866763396414</v>
          </cell>
        </row>
        <row r="19">
          <cell r="E19">
            <v>3.4751206057894732</v>
          </cell>
          <cell r="F19">
            <v>3.1543823396567308</v>
          </cell>
        </row>
        <row r="20">
          <cell r="Q20">
            <v>64544.356643287691</v>
          </cell>
          <cell r="R20">
            <v>66014.454098916001</v>
          </cell>
        </row>
        <row r="21">
          <cell r="Q21">
            <v>20708.466461988301</v>
          </cell>
          <cell r="R21">
            <v>22801.685467479674</v>
          </cell>
        </row>
        <row r="22">
          <cell r="Q22">
            <v>105.26315789473684</v>
          </cell>
          <cell r="R22">
            <v>0</v>
          </cell>
        </row>
        <row r="50">
          <cell r="Q50">
            <v>94027.158172221054</v>
          </cell>
          <cell r="R50">
            <v>97151.622459349601</v>
          </cell>
        </row>
        <row r="56">
          <cell r="L56">
            <v>4388.0187963792605</v>
          </cell>
        </row>
        <row r="80">
          <cell r="H80">
            <v>45165.440000000002</v>
          </cell>
          <cell r="I80">
            <v>63259.074999999997</v>
          </cell>
          <cell r="L80">
            <v>-18093.635000000002</v>
          </cell>
        </row>
        <row r="85">
          <cell r="H85">
            <v>48271.086555555557</v>
          </cell>
          <cell r="I85">
            <v>104184.62725000001</v>
          </cell>
          <cell r="L85">
            <v>-55913.54069444444</v>
          </cell>
          <cell r="Q85">
            <v>107700.02044000001</v>
          </cell>
          <cell r="R85">
            <v>109652.3317524842</v>
          </cell>
        </row>
        <row r="86">
          <cell r="H86">
            <v>166347.85653224456</v>
          </cell>
          <cell r="I86">
            <v>113697.39100000013</v>
          </cell>
          <cell r="K86">
            <v>34579.337966719992</v>
          </cell>
          <cell r="M86">
            <v>-17610.646600899272</v>
          </cell>
        </row>
        <row r="89">
          <cell r="Q89">
            <v>85358.086263170728</v>
          </cell>
          <cell r="R89">
            <v>88816.139566395679</v>
          </cell>
        </row>
        <row r="92">
          <cell r="H92">
            <v>64628.994332455331</v>
          </cell>
          <cell r="I92">
            <v>-17122.378658735091</v>
          </cell>
        </row>
      </sheetData>
      <sheetData sheetId="12">
        <row r="2">
          <cell r="N2">
            <v>19000</v>
          </cell>
        </row>
        <row r="5">
          <cell r="T5">
            <v>19000</v>
          </cell>
          <cell r="U5">
            <v>20565</v>
          </cell>
        </row>
        <row r="9">
          <cell r="E9">
            <v>235</v>
          </cell>
          <cell r="F9">
            <v>239.00131309702786</v>
          </cell>
          <cell r="G9">
            <v>100000</v>
          </cell>
          <cell r="H9">
            <v>100000.05640176131</v>
          </cell>
        </row>
        <row r="10">
          <cell r="E10">
            <v>46</v>
          </cell>
          <cell r="F10">
            <v>91.830046549968529</v>
          </cell>
          <cell r="G10">
            <v>92100</v>
          </cell>
          <cell r="H10">
            <v>92099.999627734738</v>
          </cell>
        </row>
        <row r="11">
          <cell r="E11">
            <v>0</v>
          </cell>
          <cell r="F11">
            <v>0</v>
          </cell>
        </row>
        <row r="12">
          <cell r="E12">
            <v>47</v>
          </cell>
          <cell r="F12">
            <v>16.522820637152677</v>
          </cell>
          <cell r="G12">
            <v>65000</v>
          </cell>
          <cell r="H12">
            <v>63000.008246511963</v>
          </cell>
        </row>
        <row r="13">
          <cell r="E13">
            <v>35</v>
          </cell>
          <cell r="F13">
            <v>27.924529893807929</v>
          </cell>
          <cell r="G13">
            <v>35300</v>
          </cell>
          <cell r="H13">
            <v>35339.388635538839</v>
          </cell>
        </row>
        <row r="14">
          <cell r="E14">
            <v>0</v>
          </cell>
          <cell r="F14">
            <v>0</v>
          </cell>
        </row>
        <row r="15">
          <cell r="E15">
            <v>363</v>
          </cell>
          <cell r="F15">
            <v>375.27871017795695</v>
          </cell>
        </row>
        <row r="16">
          <cell r="E16">
            <v>823</v>
          </cell>
          <cell r="F16">
            <v>831.51166173689603</v>
          </cell>
          <cell r="G16">
            <v>11333.333333333334</v>
          </cell>
          <cell r="H16">
            <v>10767.123904371663</v>
          </cell>
        </row>
        <row r="17">
          <cell r="E17">
            <v>904</v>
          </cell>
          <cell r="F17">
            <v>897.6349221742712</v>
          </cell>
          <cell r="G17">
            <v>17741.351568785194</v>
          </cell>
          <cell r="H17">
            <v>16709.924008443209</v>
          </cell>
        </row>
        <row r="19">
          <cell r="E19">
            <v>3.2</v>
          </cell>
          <cell r="F19">
            <v>3.2790748193764232</v>
          </cell>
        </row>
        <row r="20">
          <cell r="Q20">
            <v>60198.615151515151</v>
          </cell>
          <cell r="R20">
            <v>61578.818115696064</v>
          </cell>
        </row>
        <row r="21">
          <cell r="Q21">
            <v>17694.931493271644</v>
          </cell>
          <cell r="R21">
            <v>17298.210202201426</v>
          </cell>
        </row>
        <row r="22">
          <cell r="Q22">
            <v>157.89473684210526</v>
          </cell>
          <cell r="R22">
            <v>190.69664937206034</v>
          </cell>
        </row>
        <row r="50">
          <cell r="Q50">
            <v>85869.592258821882</v>
          </cell>
          <cell r="R50">
            <v>86280.233477185655</v>
          </cell>
        </row>
        <row r="56">
          <cell r="L56">
            <v>28808.52248267243</v>
          </cell>
        </row>
        <row r="80">
          <cell r="H80">
            <v>47488.14</v>
          </cell>
          <cell r="I80">
            <v>58706.413</v>
          </cell>
          <cell r="L80">
            <v>-11218.273000000005</v>
          </cell>
        </row>
        <row r="85">
          <cell r="H85">
            <v>28977.950777777776</v>
          </cell>
          <cell r="I85">
            <v>62729.379679999998</v>
          </cell>
          <cell r="L85">
            <v>-33751.428902222222</v>
          </cell>
          <cell r="Q85">
            <v>99300.385473684262</v>
          </cell>
          <cell r="R85">
            <v>99253.367371748114</v>
          </cell>
        </row>
        <row r="86">
          <cell r="H86">
            <v>178718.98030460725</v>
          </cell>
          <cell r="I86">
            <v>182610.06500000012</v>
          </cell>
          <cell r="K86">
            <v>-966.92726631688402</v>
          </cell>
          <cell r="M86">
            <v>21019.191381259618</v>
          </cell>
        </row>
        <row r="89">
          <cell r="Q89">
            <v>78051.441381628902</v>
          </cell>
          <cell r="R89">
            <v>79067.724967269547</v>
          </cell>
        </row>
        <row r="92">
          <cell r="H92">
            <v>84933.276410421066</v>
          </cell>
          <cell r="I92">
            <v>45122.99110953341</v>
          </cell>
        </row>
      </sheetData>
      <sheetData sheetId="13">
        <row r="2">
          <cell r="N2">
            <v>16000</v>
          </cell>
        </row>
        <row r="5">
          <cell r="T5">
            <v>16000</v>
          </cell>
          <cell r="U5">
            <v>6521</v>
          </cell>
        </row>
        <row r="9">
          <cell r="E9">
            <v>187</v>
          </cell>
          <cell r="F9">
            <v>183.14200736083421</v>
          </cell>
          <cell r="G9">
            <v>100000</v>
          </cell>
          <cell r="H9">
            <v>100000.00000000001</v>
          </cell>
        </row>
        <row r="10">
          <cell r="E10">
            <v>136</v>
          </cell>
          <cell r="F10">
            <v>145.38875325870259</v>
          </cell>
          <cell r="G10">
            <v>92100.000000000015</v>
          </cell>
          <cell r="H10">
            <v>92100.006828537269</v>
          </cell>
        </row>
        <row r="11">
          <cell r="E11">
            <v>0</v>
          </cell>
          <cell r="F11">
            <v>0</v>
          </cell>
        </row>
        <row r="12">
          <cell r="E12">
            <v>3.4</v>
          </cell>
          <cell r="F12">
            <v>19.385066707560192</v>
          </cell>
          <cell r="G12">
            <v>64000</v>
          </cell>
          <cell r="H12">
            <v>62003.328533608328</v>
          </cell>
        </row>
        <row r="13">
          <cell r="E13">
            <v>13.6</v>
          </cell>
          <cell r="F13">
            <v>25.790529059960139</v>
          </cell>
          <cell r="G13">
            <v>35000</v>
          </cell>
          <cell r="H13">
            <v>34726.784462650838</v>
          </cell>
        </row>
        <row r="14">
          <cell r="E14">
            <v>0</v>
          </cell>
          <cell r="F14">
            <v>0</v>
          </cell>
        </row>
        <row r="15">
          <cell r="E15">
            <v>340</v>
          </cell>
          <cell r="F15">
            <v>373.70635638705716</v>
          </cell>
        </row>
        <row r="16">
          <cell r="E16">
            <v>770</v>
          </cell>
          <cell r="F16">
            <v>765.06670756018991</v>
          </cell>
          <cell r="G16">
            <v>9066.6666666666679</v>
          </cell>
          <cell r="H16">
            <v>9133.71196632592</v>
          </cell>
        </row>
        <row r="17">
          <cell r="E17">
            <v>950</v>
          </cell>
          <cell r="F17">
            <v>896.36262628431257</v>
          </cell>
          <cell r="G17">
            <v>15880.190628800197</v>
          </cell>
          <cell r="H17">
            <v>16544.743301370712</v>
          </cell>
        </row>
        <row r="19">
          <cell r="E19">
            <v>3.3</v>
          </cell>
          <cell r="F19">
            <v>3.071646833307776</v>
          </cell>
        </row>
        <row r="20">
          <cell r="Q20">
            <v>56956.714430693515</v>
          </cell>
          <cell r="R20">
            <v>58303.127894494712</v>
          </cell>
        </row>
        <row r="21">
          <cell r="Q21">
            <v>20302.071092836261</v>
          </cell>
          <cell r="R21">
            <v>22018.099677963502</v>
          </cell>
        </row>
        <row r="22">
          <cell r="Q22">
            <v>325</v>
          </cell>
          <cell r="R22">
            <v>652.52905996012873</v>
          </cell>
        </row>
        <row r="50">
          <cell r="Q50">
            <v>83893.42198186311</v>
          </cell>
          <cell r="R50">
            <v>95345.224045391806</v>
          </cell>
        </row>
        <row r="56">
          <cell r="L56">
            <v>-72230.707336270716</v>
          </cell>
        </row>
        <row r="80">
          <cell r="H80">
            <v>37321.67</v>
          </cell>
          <cell r="I80">
            <v>35328.981999999996</v>
          </cell>
          <cell r="L80">
            <v>1992.6880000000024</v>
          </cell>
        </row>
        <row r="85">
          <cell r="H85">
            <v>14075.254444444443</v>
          </cell>
          <cell r="I85">
            <v>13463.11692</v>
          </cell>
          <cell r="L85">
            <v>612.13752444444276</v>
          </cell>
          <cell r="Q85">
            <v>96299.793749999997</v>
          </cell>
          <cell r="R85">
            <v>96519.046158564641</v>
          </cell>
        </row>
        <row r="86">
          <cell r="H86">
            <v>147105.02384574577</v>
          </cell>
          <cell r="I86">
            <v>-38691.111000000128</v>
          </cell>
          <cell r="K86">
            <v>1429.7449562500415</v>
          </cell>
          <cell r="M86">
            <v>-117599.99799016956</v>
          </cell>
        </row>
        <row r="89">
          <cell r="Q89">
            <v>77583.785523529776</v>
          </cell>
          <cell r="R89">
            <v>80973.756632418343</v>
          </cell>
        </row>
        <row r="92">
          <cell r="H92">
            <v>70514.075568206172</v>
          </cell>
          <cell r="I92">
            <v>-81086.158559133677</v>
          </cell>
        </row>
      </sheetData>
      <sheetData sheetId="14">
        <row r="2">
          <cell r="N2">
            <v>18000</v>
          </cell>
        </row>
        <row r="5">
          <cell r="T5">
            <v>18000</v>
          </cell>
          <cell r="U5">
            <v>18136.5</v>
          </cell>
        </row>
        <row r="9">
          <cell r="E9">
            <v>246.38056978542065</v>
          </cell>
          <cell r="F9">
            <v>249.93154802259886</v>
          </cell>
          <cell r="G9">
            <v>100000</v>
          </cell>
          <cell r="H9">
            <v>100000.001323223</v>
          </cell>
        </row>
        <row r="10">
          <cell r="E10">
            <v>65.218386119670171</v>
          </cell>
          <cell r="F10">
            <v>65.326892104175272</v>
          </cell>
          <cell r="G10">
            <v>92100</v>
          </cell>
          <cell r="H10">
            <v>92100.002367546593</v>
          </cell>
        </row>
        <row r="11">
          <cell r="E11">
            <v>0</v>
          </cell>
          <cell r="F11">
            <v>0</v>
          </cell>
        </row>
        <row r="12">
          <cell r="E12">
            <v>25.362705713205056</v>
          </cell>
          <cell r="F12">
            <v>35.85625630425794</v>
          </cell>
          <cell r="G12">
            <v>62000</v>
          </cell>
          <cell r="H12">
            <v>61027.319700868626</v>
          </cell>
        </row>
        <row r="13">
          <cell r="E13">
            <v>25.362705713205056</v>
          </cell>
          <cell r="F13">
            <v>25.985320655918443</v>
          </cell>
          <cell r="G13">
            <v>35500</v>
          </cell>
          <cell r="H13">
            <v>35481.26555928756</v>
          </cell>
        </row>
        <row r="14">
          <cell r="E14">
            <v>0</v>
          </cell>
          <cell r="F14">
            <v>0.56287722199255907</v>
          </cell>
        </row>
        <row r="15">
          <cell r="E15">
            <v>362.32436733150092</v>
          </cell>
          <cell r="F15">
            <v>377.66289430894307</v>
          </cell>
        </row>
        <row r="16">
          <cell r="E16">
            <v>787.26522222222218</v>
          </cell>
          <cell r="F16">
            <v>735.18533829406067</v>
          </cell>
          <cell r="G16">
            <v>11362.368995041013</v>
          </cell>
          <cell r="H16">
            <v>11125.552589949099</v>
          </cell>
        </row>
        <row r="17">
          <cell r="E17">
            <v>918.90980828348381</v>
          </cell>
          <cell r="F17">
            <v>995.10541546093407</v>
          </cell>
          <cell r="G17">
            <v>19373.747651494996</v>
          </cell>
          <cell r="H17">
            <v>18764.584101873857</v>
          </cell>
        </row>
        <row r="19">
          <cell r="E19">
            <v>3.0797571223177567</v>
          </cell>
          <cell r="F19">
            <v>3.2479840154333735</v>
          </cell>
        </row>
        <row r="20">
          <cell r="Q20">
            <v>62708.074663120176</v>
          </cell>
          <cell r="R20">
            <v>64683.293427035955</v>
          </cell>
        </row>
        <row r="21">
          <cell r="Q21">
            <v>19615.744999999999</v>
          </cell>
          <cell r="R21">
            <v>18856.033347113134</v>
          </cell>
        </row>
        <row r="22">
          <cell r="Q22">
            <v>222.2222222222222</v>
          </cell>
          <cell r="R22">
            <v>294.54562491387628</v>
          </cell>
        </row>
        <row r="50">
          <cell r="Q50">
            <v>89980.989107564616</v>
          </cell>
          <cell r="R50">
            <v>91435.733994763665</v>
          </cell>
        </row>
        <row r="56">
          <cell r="L56">
            <v>-19655.12150065387</v>
          </cell>
        </row>
        <row r="80">
          <cell r="H80">
            <v>49044.33</v>
          </cell>
          <cell r="I80">
            <v>61134.684999999998</v>
          </cell>
          <cell r="L80">
            <v>-12090.354999999987</v>
          </cell>
        </row>
        <row r="85">
          <cell r="H85">
            <v>26338.268333333333</v>
          </cell>
          <cell r="I85">
            <v>22718.655550000003</v>
          </cell>
          <cell r="L85">
            <v>3619.6127833333308</v>
          </cell>
          <cell r="Q85">
            <v>102000.42528888889</v>
          </cell>
          <cell r="R85">
            <v>99560.758691037408</v>
          </cell>
        </row>
        <row r="86">
          <cell r="H86">
            <v>140967.25293050313</v>
          </cell>
          <cell r="I86">
            <v>70235.028999999951</v>
          </cell>
          <cell r="K86">
            <v>-44247.013251933349</v>
          </cell>
          <cell r="M86">
            <v>1640.6530387507573</v>
          </cell>
        </row>
        <row r="89">
          <cell r="Q89">
            <v>82546.041885342391</v>
          </cell>
          <cell r="R89">
            <v>83833.872399062966</v>
          </cell>
        </row>
        <row r="92">
          <cell r="H92">
            <v>49701.761930561363</v>
          </cell>
          <cell r="I92">
            <v>-51391.85565114877</v>
          </cell>
        </row>
      </sheetData>
      <sheetData sheetId="15">
        <row r="2">
          <cell r="N2">
            <v>12000</v>
          </cell>
        </row>
        <row r="5">
          <cell r="T5">
            <v>12000</v>
          </cell>
          <cell r="U5">
            <v>3796</v>
          </cell>
        </row>
        <row r="9">
          <cell r="E9">
            <v>227.25768332944466</v>
          </cell>
          <cell r="F9">
            <v>200.48525553213912</v>
          </cell>
          <cell r="G9">
            <v>100000</v>
          </cell>
          <cell r="H9">
            <v>100000.01182589086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88.100987947341977</v>
          </cell>
          <cell r="F12">
            <v>107.2606875658588</v>
          </cell>
          <cell r="G12">
            <v>62200</v>
          </cell>
          <cell r="H12">
            <v>61017.27135004416</v>
          </cell>
        </row>
        <row r="13">
          <cell r="E13">
            <v>40.661117948119688</v>
          </cell>
          <cell r="F13">
            <v>43.771211801896719</v>
          </cell>
          <cell r="G13">
            <v>36000</v>
          </cell>
          <cell r="H13">
            <v>35938.336565646467</v>
          </cell>
        </row>
        <row r="14">
          <cell r="E14">
            <v>0</v>
          </cell>
          <cell r="F14">
            <v>0</v>
          </cell>
        </row>
        <row r="15">
          <cell r="E15">
            <v>356.01978922490633</v>
          </cell>
          <cell r="F15">
            <v>351.51715489989465</v>
          </cell>
        </row>
        <row r="16">
          <cell r="E16">
            <v>771.6</v>
          </cell>
          <cell r="F16">
            <v>720.02634351949473</v>
          </cell>
          <cell r="G16">
            <v>9600</v>
          </cell>
          <cell r="H16">
            <v>9389.4157806543135</v>
          </cell>
        </row>
        <row r="17">
          <cell r="E17">
            <v>877.88719000000003</v>
          </cell>
          <cell r="F17">
            <v>888.6192044257117</v>
          </cell>
          <cell r="G17">
            <v>17974.860423314243</v>
          </cell>
          <cell r="H17">
            <v>16398.243684740159</v>
          </cell>
        </row>
        <row r="19">
          <cell r="E19">
            <v>3.0207015417450371</v>
          </cell>
          <cell r="F19">
            <v>3.099341412012647</v>
          </cell>
        </row>
        <row r="20">
          <cell r="Q20">
            <v>54930.031939628127</v>
          </cell>
          <cell r="R20">
            <v>51544.82982086407</v>
          </cell>
        </row>
        <row r="21">
          <cell r="Q21">
            <v>18437.427997076025</v>
          </cell>
          <cell r="R21">
            <v>25091.221285563752</v>
          </cell>
        </row>
        <row r="22">
          <cell r="Q22">
            <v>66.666666666666671</v>
          </cell>
          <cell r="R22">
            <v>93.415437302423598</v>
          </cell>
        </row>
        <row r="50">
          <cell r="Q50">
            <v>81800.893270037486</v>
          </cell>
          <cell r="R50">
            <v>100373.40674394098</v>
          </cell>
        </row>
        <row r="56">
          <cell r="L56">
            <v>-70316.99257693773</v>
          </cell>
        </row>
        <row r="80">
          <cell r="H80">
            <v>27169.299999999996</v>
          </cell>
          <cell r="I80">
            <v>31573.429000000004</v>
          </cell>
          <cell r="L80">
            <v>-4404.1290000000054</v>
          </cell>
        </row>
        <row r="85">
          <cell r="H85">
            <v>12232.011444444444</v>
          </cell>
          <cell r="I85">
            <v>11034.485570000001</v>
          </cell>
          <cell r="L85">
            <v>1197.5258744444443</v>
          </cell>
          <cell r="Q85">
            <v>94380</v>
          </cell>
          <cell r="R85">
            <v>91334.5100105374</v>
          </cell>
        </row>
        <row r="86">
          <cell r="H86">
            <v>111547.96931510573</v>
          </cell>
          <cell r="I86">
            <v>-76735.298000000053</v>
          </cell>
          <cell r="K86">
            <v>-11560.680000000028</v>
          </cell>
          <cell r="M86">
            <v>-103198.9916126125</v>
          </cell>
        </row>
        <row r="89">
          <cell r="Q89">
            <v>73434.126603370823</v>
          </cell>
          <cell r="R89">
            <v>76729.466543730246</v>
          </cell>
        </row>
        <row r="92">
          <cell r="H92">
            <v>55249.922738805129</v>
          </cell>
          <cell r="I92">
            <v>-100088.63853493662</v>
          </cell>
        </row>
      </sheetData>
      <sheetData sheetId="16">
        <row r="2">
          <cell r="N2">
            <v>18000</v>
          </cell>
        </row>
        <row r="5">
          <cell r="T5">
            <v>18000</v>
          </cell>
          <cell r="U5">
            <v>7563</v>
          </cell>
        </row>
        <row r="9">
          <cell r="E9">
            <v>253.9</v>
          </cell>
          <cell r="F9">
            <v>228.11900568557459</v>
          </cell>
          <cell r="G9">
            <v>100000</v>
          </cell>
          <cell r="H9">
            <v>100000.0005796214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64.100000000000009</v>
          </cell>
          <cell r="F12">
            <v>72.931260081977996</v>
          </cell>
          <cell r="G12">
            <v>64500.000000000015</v>
          </cell>
          <cell r="H12">
            <v>63000.000797709734</v>
          </cell>
        </row>
        <row r="13">
          <cell r="E13">
            <v>35.9</v>
          </cell>
          <cell r="F13">
            <v>28.970589713076823</v>
          </cell>
          <cell r="G13">
            <v>32999.999999999993</v>
          </cell>
          <cell r="H13">
            <v>32894.247710123069</v>
          </cell>
        </row>
        <row r="14">
          <cell r="E14">
            <v>0</v>
          </cell>
          <cell r="F14">
            <v>0</v>
          </cell>
        </row>
        <row r="15">
          <cell r="E15">
            <v>353.9</v>
          </cell>
          <cell r="F15">
            <v>330.02085548062939</v>
          </cell>
        </row>
        <row r="16">
          <cell r="E16">
            <v>846.8</v>
          </cell>
          <cell r="F16">
            <v>759.51024725637978</v>
          </cell>
          <cell r="G16">
            <v>11000</v>
          </cell>
          <cell r="H16">
            <v>11164.17097944074</v>
          </cell>
        </row>
        <row r="17">
          <cell r="E17">
            <v>885.5</v>
          </cell>
          <cell r="F17">
            <v>930.54938516461766</v>
          </cell>
          <cell r="G17">
            <v>17410.304567029427</v>
          </cell>
          <cell r="H17">
            <v>16718.123916112327</v>
          </cell>
        </row>
        <row r="19">
          <cell r="E19">
            <v>3.08</v>
          </cell>
          <cell r="F19">
            <v>2.4279717043501261</v>
          </cell>
        </row>
        <row r="20">
          <cell r="Q20">
            <v>57597.374694104554</v>
          </cell>
          <cell r="R20">
            <v>54089.836572788576</v>
          </cell>
        </row>
        <row r="21">
          <cell r="Q21">
            <v>18333.142765957447</v>
          </cell>
          <cell r="R21">
            <v>18286.305566574112</v>
          </cell>
        </row>
        <row r="22">
          <cell r="Q22">
            <v>83.333333333333329</v>
          </cell>
          <cell r="R22">
            <v>149.03318788840406</v>
          </cell>
        </row>
        <row r="50">
          <cell r="Q50">
            <v>82338.013951983783</v>
          </cell>
          <cell r="R50">
            <v>88766.457622636517</v>
          </cell>
        </row>
        <row r="56">
          <cell r="L56">
            <v>-45862.854121146833</v>
          </cell>
        </row>
        <row r="80">
          <cell r="H80">
            <v>35912.47</v>
          </cell>
          <cell r="I80">
            <v>32845.151999999995</v>
          </cell>
          <cell r="L80">
            <v>3067.318000000007</v>
          </cell>
        </row>
        <row r="85">
          <cell r="H85">
            <v>31871.415222222218</v>
          </cell>
          <cell r="I85">
            <v>31706.675359999997</v>
          </cell>
          <cell r="L85">
            <v>164.73986222222061</v>
          </cell>
          <cell r="Q85">
            <v>100100.25762066666</v>
          </cell>
          <cell r="R85">
            <v>91304.60134867116</v>
          </cell>
        </row>
        <row r="86">
          <cell r="H86">
            <v>251936.50081406976</v>
          </cell>
          <cell r="I86">
            <v>-42600.381000000052</v>
          </cell>
          <cell r="K86">
            <v>-66521.548385101938</v>
          </cell>
          <cell r="M86">
            <v>-185384.53717004333</v>
          </cell>
        </row>
        <row r="89">
          <cell r="Q89">
            <v>76013.850793395322</v>
          </cell>
          <cell r="R89">
            <v>72525.175327251098</v>
          </cell>
        </row>
        <row r="92">
          <cell r="H92">
            <v>162371.19620777637</v>
          </cell>
          <cell r="I92">
            <v>-89113.415125680476</v>
          </cell>
        </row>
      </sheetData>
      <sheetData sheetId="17">
        <row r="2">
          <cell r="N2">
            <v>12000</v>
          </cell>
        </row>
        <row r="5">
          <cell r="T5">
            <v>12000</v>
          </cell>
          <cell r="U5">
            <v>6879</v>
          </cell>
        </row>
        <row r="9">
          <cell r="E9">
            <v>241.49999999999997</v>
          </cell>
          <cell r="F9">
            <v>274.58352231428984</v>
          </cell>
          <cell r="G9">
            <v>100000</v>
          </cell>
          <cell r="H9">
            <v>100000.00000000001</v>
          </cell>
        </row>
        <row r="10">
          <cell r="E10">
            <v>0</v>
          </cell>
          <cell r="F10">
            <v>9.1530760284925137</v>
          </cell>
          <cell r="G10">
            <v>0</v>
          </cell>
          <cell r="H10">
            <v>96500.016437961953</v>
          </cell>
        </row>
        <row r="11">
          <cell r="E11">
            <v>0</v>
          </cell>
          <cell r="F11">
            <v>0</v>
          </cell>
        </row>
        <row r="12">
          <cell r="E12">
            <v>69</v>
          </cell>
          <cell r="F12">
            <v>40.349624945486248</v>
          </cell>
          <cell r="G12">
            <v>61400</v>
          </cell>
          <cell r="H12">
            <v>59218.636552502838</v>
          </cell>
        </row>
        <row r="13">
          <cell r="E13">
            <v>34.5</v>
          </cell>
          <cell r="F13">
            <v>21.009606047390623</v>
          </cell>
          <cell r="G13">
            <v>35300.000000000007</v>
          </cell>
          <cell r="H13">
            <v>34262.510008643469</v>
          </cell>
        </row>
        <row r="14">
          <cell r="E14">
            <v>0</v>
          </cell>
          <cell r="F14">
            <v>0</v>
          </cell>
        </row>
        <row r="15">
          <cell r="E15">
            <v>345</v>
          </cell>
          <cell r="F15">
            <v>345.09582933565923</v>
          </cell>
        </row>
        <row r="16">
          <cell r="E16">
            <v>734.13912938816463</v>
          </cell>
          <cell r="F16">
            <v>687.83907544701299</v>
          </cell>
          <cell r="G16">
            <v>11133.333333333332</v>
          </cell>
          <cell r="H16">
            <v>10933.548903182715</v>
          </cell>
        </row>
        <row r="17">
          <cell r="E17">
            <v>973.1611715145433</v>
          </cell>
          <cell r="F17">
            <v>963.34350923099271</v>
          </cell>
          <cell r="G17">
            <v>14763.292547274748</v>
          </cell>
          <cell r="H17">
            <v>14914.126491661187</v>
          </cell>
        </row>
        <row r="19">
          <cell r="E19">
            <v>3.105</v>
          </cell>
          <cell r="F19">
            <v>2.7850268934438152</v>
          </cell>
        </row>
        <row r="20">
          <cell r="Q20">
            <v>54318.428711239379</v>
          </cell>
          <cell r="R20">
            <v>55813.598778892279</v>
          </cell>
        </row>
        <row r="21">
          <cell r="Q21">
            <v>18656.076315789473</v>
          </cell>
          <cell r="R21">
            <v>18524.186073557205</v>
          </cell>
        </row>
        <row r="22">
          <cell r="Q22">
            <v>400</v>
          </cell>
          <cell r="R22">
            <v>417.59005669428694</v>
          </cell>
        </row>
        <row r="50">
          <cell r="Q50">
            <v>83443.996415917733</v>
          </cell>
          <cell r="R50">
            <v>88107.541067015569</v>
          </cell>
        </row>
        <row r="56">
          <cell r="L56">
            <v>-32080.534714901885</v>
          </cell>
        </row>
        <row r="80">
          <cell r="H80">
            <v>36472.270000000004</v>
          </cell>
          <cell r="I80">
            <v>34921.394</v>
          </cell>
          <cell r="L80">
            <v>1550.8760000000032</v>
          </cell>
        </row>
        <row r="85">
          <cell r="H85">
            <v>16332.069325359782</v>
          </cell>
          <cell r="I85">
            <v>13911.673939999999</v>
          </cell>
          <cell r="L85">
            <v>2420.3953853597823</v>
          </cell>
          <cell r="Q85">
            <v>97252.640217391308</v>
          </cell>
          <cell r="R85">
            <v>86391.624073266459</v>
          </cell>
        </row>
        <row r="86">
          <cell r="H86">
            <v>112899.386292323</v>
          </cell>
          <cell r="I86">
            <v>-60636.871999999996</v>
          </cell>
          <cell r="K86">
            <v>-74712.930055434845</v>
          </cell>
          <cell r="M86">
            <v>-70714.064907346154</v>
          </cell>
        </row>
        <row r="89">
          <cell r="Q89">
            <v>73374.505027028848</v>
          </cell>
          <cell r="R89">
            <v>74755.374909143778</v>
          </cell>
        </row>
        <row r="92">
          <cell r="H92">
            <v>54887.798364510963</v>
          </cell>
          <cell r="I92">
            <v>-100666.80406189873</v>
          </cell>
        </row>
      </sheetData>
      <sheetData sheetId="18">
        <row r="2">
          <cell r="N2">
            <v>12500</v>
          </cell>
        </row>
        <row r="5">
          <cell r="T5">
            <v>12500</v>
          </cell>
          <cell r="U5">
            <v>8572</v>
          </cell>
        </row>
        <row r="9">
          <cell r="E9">
            <v>254</v>
          </cell>
          <cell r="F9">
            <v>261.18141040597305</v>
          </cell>
          <cell r="G9">
            <v>100000</v>
          </cell>
          <cell r="H9">
            <v>99999.999999999956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69</v>
          </cell>
          <cell r="F12">
            <v>84.67102659822686</v>
          </cell>
          <cell r="G12">
            <v>60200</v>
          </cell>
          <cell r="H12">
            <v>59200.013270872747</v>
          </cell>
        </row>
        <row r="13">
          <cell r="E13">
            <v>39.9</v>
          </cell>
          <cell r="F13">
            <v>40.700535464302398</v>
          </cell>
          <cell r="G13">
            <v>37000</v>
          </cell>
          <cell r="H13">
            <v>36999.473666092643</v>
          </cell>
        </row>
        <row r="14">
          <cell r="E14">
            <v>0</v>
          </cell>
          <cell r="F14">
            <v>0</v>
          </cell>
        </row>
        <row r="15">
          <cell r="E15">
            <v>362.9</v>
          </cell>
          <cell r="F15">
            <v>386.55297246850233</v>
          </cell>
        </row>
        <row r="16">
          <cell r="E16">
            <v>799</v>
          </cell>
          <cell r="F16">
            <v>683.28184787680823</v>
          </cell>
          <cell r="G16">
            <v>11533.333333333334</v>
          </cell>
          <cell r="H16">
            <v>11550.323949154288</v>
          </cell>
        </row>
        <row r="17">
          <cell r="E17">
            <v>901</v>
          </cell>
          <cell r="F17">
            <v>859.56637890807292</v>
          </cell>
          <cell r="G17">
            <v>19459.84427141268</v>
          </cell>
          <cell r="H17">
            <v>20098.680777389003</v>
          </cell>
        </row>
        <row r="19">
          <cell r="E19">
            <v>3.27</v>
          </cell>
          <cell r="F19">
            <v>3.1163205786280912</v>
          </cell>
        </row>
        <row r="20">
          <cell r="Q20">
            <v>60721.553021876156</v>
          </cell>
          <cell r="R20">
            <v>60220.833061129262</v>
          </cell>
        </row>
        <row r="21">
          <cell r="Q21">
            <v>20823.380641679472</v>
          </cell>
          <cell r="R21">
            <v>24936.464185720954</v>
          </cell>
        </row>
        <row r="22">
          <cell r="Q22">
            <v>246.4</v>
          </cell>
          <cell r="R22">
            <v>232.12144190387306</v>
          </cell>
        </row>
        <row r="50">
          <cell r="Q50">
            <v>89240.731992301822</v>
          </cell>
          <cell r="R50">
            <v>97251.868408772745</v>
          </cell>
        </row>
        <row r="56">
          <cell r="L56">
            <v>-68671.4651219886</v>
          </cell>
        </row>
        <row r="80">
          <cell r="H80">
            <v>35723.71</v>
          </cell>
          <cell r="I80">
            <v>29715.834000000003</v>
          </cell>
          <cell r="L80">
            <v>6007.8759999999966</v>
          </cell>
        </row>
        <row r="85">
          <cell r="H85">
            <v>15715.589833060507</v>
          </cell>
          <cell r="I85">
            <v>13079.64424</v>
          </cell>
          <cell r="L85">
            <v>2635.9455930605068</v>
          </cell>
          <cell r="Q85">
            <v>104222.16</v>
          </cell>
          <cell r="R85">
            <v>105926.67988800746</v>
          </cell>
        </row>
        <row r="86">
          <cell r="H86">
            <v>135828.55026316663</v>
          </cell>
          <cell r="I86">
            <v>31565.002000000059</v>
          </cell>
          <cell r="K86">
            <v>14611.14447999995</v>
          </cell>
          <cell r="M86">
            <v>-58847.049214238417</v>
          </cell>
        </row>
        <row r="89">
          <cell r="Q89">
            <v>81791.333663555619</v>
          </cell>
          <cell r="R89">
            <v>85389.418688754085</v>
          </cell>
        </row>
        <row r="92">
          <cell r="H92">
            <v>71069.243714698416</v>
          </cell>
          <cell r="I92">
            <v>-29596.117722872405</v>
          </cell>
        </row>
      </sheetData>
      <sheetData sheetId="19">
        <row r="2">
          <cell r="N2">
            <v>21000</v>
          </cell>
        </row>
        <row r="5">
          <cell r="T5">
            <v>21000</v>
          </cell>
          <cell r="U5">
            <v>20895</v>
          </cell>
        </row>
        <row r="9">
          <cell r="E9">
            <v>268.77619047619049</v>
          </cell>
          <cell r="F9">
            <v>308.21383888066475</v>
          </cell>
          <cell r="G9">
            <v>100000</v>
          </cell>
          <cell r="H9">
            <v>99965.440281263393</v>
          </cell>
        </row>
        <row r="10">
          <cell r="E10">
            <v>33.104761904761915</v>
          </cell>
          <cell r="F10">
            <v>1.7931335657322955</v>
          </cell>
          <cell r="G10">
            <v>86800</v>
          </cell>
          <cell r="H10">
            <v>86600.056830877002</v>
          </cell>
        </row>
        <row r="11">
          <cell r="E11">
            <v>0</v>
          </cell>
          <cell r="F11">
            <v>0</v>
          </cell>
        </row>
        <row r="12">
          <cell r="E12">
            <v>38.533333333333339</v>
          </cell>
          <cell r="F12">
            <v>42.438025882240602</v>
          </cell>
          <cell r="G12">
            <v>64300</v>
          </cell>
          <cell r="H12">
            <v>61901.935501584485</v>
          </cell>
        </row>
        <row r="13">
          <cell r="E13">
            <v>38.533333333333339</v>
          </cell>
          <cell r="F13">
            <v>41.351006637696372</v>
          </cell>
          <cell r="G13">
            <v>42900</v>
          </cell>
          <cell r="H13">
            <v>39509.824698244302</v>
          </cell>
        </row>
        <row r="14">
          <cell r="E14">
            <v>0</v>
          </cell>
          <cell r="F14">
            <v>0</v>
          </cell>
        </row>
        <row r="15">
          <cell r="E15">
            <v>378.94761904761913</v>
          </cell>
          <cell r="F15">
            <v>393.79600496633407</v>
          </cell>
        </row>
        <row r="16">
          <cell r="E16">
            <v>869</v>
          </cell>
          <cell r="F16">
            <v>784.54495377489116</v>
          </cell>
          <cell r="G16">
            <v>11400</v>
          </cell>
          <cell r="H16">
            <v>10852.302780181359</v>
          </cell>
        </row>
        <row r="17">
          <cell r="E17">
            <v>872</v>
          </cell>
          <cell r="F17">
            <v>975.20537070818</v>
          </cell>
          <cell r="G17">
            <v>13225.806451612903</v>
          </cell>
          <cell r="H17">
            <v>12580.677957528527</v>
          </cell>
        </row>
        <row r="19">
          <cell r="E19">
            <v>2.8</v>
          </cell>
          <cell r="F19">
            <v>3.2546320615061393</v>
          </cell>
        </row>
        <row r="20">
          <cell r="Q20">
            <v>57701.388940092169</v>
          </cell>
          <cell r="R20">
            <v>59320.404994985911</v>
          </cell>
        </row>
        <row r="21">
          <cell r="Q21">
            <v>20195.060790273557</v>
          </cell>
          <cell r="R21">
            <v>21911.989494293492</v>
          </cell>
        </row>
        <row r="22">
          <cell r="Q22">
            <v>119.04761904761904</v>
          </cell>
          <cell r="R22">
            <v>164.2794040399217</v>
          </cell>
        </row>
        <row r="50">
          <cell r="Q50">
            <v>85705.94772167725</v>
          </cell>
          <cell r="R50">
            <v>88875.273434888499</v>
          </cell>
        </row>
        <row r="56">
          <cell r="L56">
            <v>-66244.795495553612</v>
          </cell>
        </row>
        <row r="80">
          <cell r="H80">
            <v>44623.64</v>
          </cell>
          <cell r="I80">
            <v>52495.491000000002</v>
          </cell>
          <cell r="L80">
            <v>-7871.8509999999987</v>
          </cell>
        </row>
        <row r="85">
          <cell r="H85">
            <v>36801.933444444439</v>
          </cell>
          <cell r="I85">
            <v>32935.599860000002</v>
          </cell>
          <cell r="L85">
            <v>3866.3335844444364</v>
          </cell>
          <cell r="Q85">
            <v>103000</v>
          </cell>
          <cell r="R85">
            <v>96241.63062933716</v>
          </cell>
        </row>
        <row r="86">
          <cell r="H86">
            <v>281749.52440033318</v>
          </cell>
          <cell r="I86">
            <v>68467.20799999997</v>
          </cell>
          <cell r="K86">
            <v>-141216.12800000003</v>
          </cell>
          <cell r="M86">
            <v>-1815.8754892238867</v>
          </cell>
        </row>
        <row r="89">
          <cell r="Q89">
            <v>78015.497349413345</v>
          </cell>
          <cell r="R89">
            <v>81396.673893319312</v>
          </cell>
        </row>
        <row r="92">
          <cell r="H92">
            <v>180053.0989003604</v>
          </cell>
          <cell r="I92">
            <v>-58754.126013384506</v>
          </cell>
        </row>
      </sheetData>
      <sheetData sheetId="20">
        <row r="2">
          <cell r="N2">
            <v>12000</v>
          </cell>
        </row>
        <row r="5">
          <cell r="T5">
            <v>12000</v>
          </cell>
          <cell r="U5">
            <v>14159.5</v>
          </cell>
        </row>
        <row r="9">
          <cell r="E9">
            <v>222.15</v>
          </cell>
          <cell r="F9">
            <v>233.49780096591093</v>
          </cell>
          <cell r="G9">
            <v>100000.00000000001</v>
          </cell>
          <cell r="H9">
            <v>100000.00000000007</v>
          </cell>
        </row>
        <row r="10">
          <cell r="E10">
            <v>32.479999999999997</v>
          </cell>
          <cell r="F10">
            <v>20.839285084781615</v>
          </cell>
          <cell r="G10">
            <v>96799.999999999985</v>
          </cell>
          <cell r="H10">
            <v>97367.122953981059</v>
          </cell>
        </row>
        <row r="11">
          <cell r="E11">
            <v>0</v>
          </cell>
          <cell r="F11">
            <v>0</v>
          </cell>
        </row>
        <row r="12">
          <cell r="E12">
            <v>52.169999999999995</v>
          </cell>
          <cell r="F12">
            <v>85.597070539711638</v>
          </cell>
          <cell r="G12">
            <v>65000</v>
          </cell>
          <cell r="H12">
            <v>62000.003212345822</v>
          </cell>
        </row>
        <row r="13">
          <cell r="E13">
            <v>25.82</v>
          </cell>
          <cell r="F13">
            <v>19.317172771177784</v>
          </cell>
          <cell r="G13">
            <v>36000</v>
          </cell>
          <cell r="H13">
            <v>35950.934123721745</v>
          </cell>
        </row>
        <row r="14">
          <cell r="E14">
            <v>0</v>
          </cell>
          <cell r="F14">
            <v>0</v>
          </cell>
        </row>
        <row r="15">
          <cell r="E15">
            <v>332.62</v>
          </cell>
          <cell r="F15">
            <v>359.25132936158201</v>
          </cell>
        </row>
        <row r="16">
          <cell r="E16">
            <v>742.15</v>
          </cell>
          <cell r="F16">
            <v>648.15419325272308</v>
          </cell>
          <cell r="G16">
            <v>13333.333333333334</v>
          </cell>
          <cell r="H16">
            <v>14865.500356517587</v>
          </cell>
        </row>
        <row r="17">
          <cell r="E17">
            <v>992.18</v>
          </cell>
          <cell r="F17">
            <v>1077.0007402968236</v>
          </cell>
          <cell r="G17">
            <v>15310.272941745945</v>
          </cell>
          <cell r="H17">
            <v>15839.310562437979</v>
          </cell>
        </row>
        <row r="19">
          <cell r="E19">
            <v>2.23</v>
          </cell>
          <cell r="F19">
            <v>2.4497056438819751</v>
          </cell>
        </row>
        <row r="20">
          <cell r="Q20">
            <v>56257.38394067483</v>
          </cell>
          <cell r="R20">
            <v>60019.414601473545</v>
          </cell>
        </row>
        <row r="21">
          <cell r="Q21">
            <v>16650.867615248226</v>
          </cell>
          <cell r="R21">
            <v>17289.43892551204</v>
          </cell>
        </row>
        <row r="22">
          <cell r="Q22">
            <v>250</v>
          </cell>
          <cell r="R22">
            <v>287.82366834702293</v>
          </cell>
        </row>
        <row r="50">
          <cell r="Q50">
            <v>81732.072389256384</v>
          </cell>
          <cell r="R50">
            <v>85538.730637712841</v>
          </cell>
        </row>
        <row r="56">
          <cell r="L56">
            <v>-53879.731944324063</v>
          </cell>
        </row>
        <row r="80">
          <cell r="H80">
            <v>28926.809999999998</v>
          </cell>
          <cell r="I80">
            <v>30244.472000000002</v>
          </cell>
          <cell r="L80">
            <v>-1317.6620000000062</v>
          </cell>
        </row>
        <row r="85">
          <cell r="H85">
            <v>21587.247777777779</v>
          </cell>
          <cell r="I85">
            <v>19374.215059999999</v>
          </cell>
          <cell r="L85">
            <v>2213.0327177777785</v>
          </cell>
          <cell r="Q85">
            <v>100827.57250000001</v>
          </cell>
          <cell r="R85">
            <v>97258.448391539248</v>
          </cell>
        </row>
        <row r="86">
          <cell r="H86">
            <v>178631.94355114573</v>
          </cell>
          <cell r="I86">
            <v>116347.30200000004</v>
          </cell>
          <cell r="K86">
            <v>-50537.012813750138</v>
          </cell>
          <cell r="M86">
            <v>41236.732489150862</v>
          </cell>
        </row>
        <row r="89">
          <cell r="Q89">
            <v>73158.251555923052</v>
          </cell>
          <cell r="R89">
            <v>77596.67719533261</v>
          </cell>
        </row>
        <row r="92">
          <cell r="H92">
            <v>121745.37647714099</v>
          </cell>
          <cell r="I92">
            <v>29224.897784493034</v>
          </cell>
        </row>
      </sheetData>
      <sheetData sheetId="21">
        <row r="2">
          <cell r="N2">
            <v>7500</v>
          </cell>
        </row>
        <row r="5">
          <cell r="T5">
            <v>7500</v>
          </cell>
          <cell r="U5">
            <v>3452.5</v>
          </cell>
        </row>
        <row r="9">
          <cell r="E9">
            <v>260.7</v>
          </cell>
          <cell r="F9">
            <v>252.64012165097759</v>
          </cell>
          <cell r="G9">
            <v>100000</v>
          </cell>
          <cell r="H9">
            <v>99999.999999999985</v>
          </cell>
        </row>
        <row r="10">
          <cell r="E10">
            <v>2.2999999999999998</v>
          </cell>
          <cell r="F10">
            <v>2.2902273714699493</v>
          </cell>
          <cell r="G10">
            <v>94200</v>
          </cell>
          <cell r="H10">
            <v>93101.058427901327</v>
          </cell>
        </row>
        <row r="11">
          <cell r="E11">
            <v>0</v>
          </cell>
          <cell r="F11">
            <v>0</v>
          </cell>
        </row>
        <row r="12">
          <cell r="E12">
            <v>68.099999999999994</v>
          </cell>
          <cell r="F12">
            <v>74.273714699493141</v>
          </cell>
          <cell r="G12">
            <v>64900.000000000007</v>
          </cell>
          <cell r="H12">
            <v>63365.187380571682</v>
          </cell>
        </row>
        <row r="13">
          <cell r="E13">
            <v>17.600000000000001</v>
          </cell>
          <cell r="F13">
            <v>8.4286777697320794</v>
          </cell>
          <cell r="G13">
            <v>39300.000000000007</v>
          </cell>
          <cell r="H13">
            <v>33626.070918875972</v>
          </cell>
        </row>
        <row r="14">
          <cell r="E14">
            <v>0</v>
          </cell>
          <cell r="F14">
            <v>0</v>
          </cell>
        </row>
        <row r="15">
          <cell r="E15">
            <v>348.70000000000005</v>
          </cell>
          <cell r="F15">
            <v>337.63274149167273</v>
          </cell>
        </row>
        <row r="16">
          <cell r="E16">
            <v>810</v>
          </cell>
          <cell r="F16">
            <v>849.09485879797262</v>
          </cell>
          <cell r="G16">
            <v>14200</v>
          </cell>
          <cell r="H16">
            <v>15120.987207914033</v>
          </cell>
        </row>
        <row r="17">
          <cell r="E17">
            <v>905</v>
          </cell>
          <cell r="F17">
            <v>827.61766835626327</v>
          </cell>
          <cell r="G17">
            <v>15212.903225806453</v>
          </cell>
          <cell r="H17">
            <v>15342.133445325218</v>
          </cell>
        </row>
        <row r="19">
          <cell r="E19">
            <v>2.82</v>
          </cell>
          <cell r="F19">
            <v>2.8120926864590885</v>
          </cell>
        </row>
        <row r="20">
          <cell r="Q20">
            <v>58698.107419354841</v>
          </cell>
          <cell r="R20">
            <v>58227.202896451847</v>
          </cell>
        </row>
        <row r="21">
          <cell r="Q21">
            <v>14095.694764032072</v>
          </cell>
          <cell r="R21">
            <v>14348.61491672701</v>
          </cell>
        </row>
        <row r="22">
          <cell r="Q22">
            <v>60</v>
          </cell>
          <cell r="R22">
            <v>83.994496741491659</v>
          </cell>
        </row>
        <row r="50">
          <cell r="Q50">
            <v>80678.899516720252</v>
          </cell>
          <cell r="R50">
            <v>89691.439536567705</v>
          </cell>
        </row>
        <row r="56">
          <cell r="L56">
            <v>-31115.801678523294</v>
          </cell>
        </row>
        <row r="80">
          <cell r="H80">
            <v>10984.019999999999</v>
          </cell>
          <cell r="I80">
            <v>14643.748</v>
          </cell>
          <cell r="L80">
            <v>-3659.728000000001</v>
          </cell>
        </row>
        <row r="85">
          <cell r="H85">
            <v>11709.676333333335</v>
          </cell>
          <cell r="I85">
            <v>9376.7947399999994</v>
          </cell>
          <cell r="L85">
            <v>2332.8815933333349</v>
          </cell>
          <cell r="Q85">
            <v>111047.17333333334</v>
          </cell>
          <cell r="R85">
            <v>108100.42548877624</v>
          </cell>
        </row>
        <row r="86">
          <cell r="H86">
            <v>205068.35729126487</v>
          </cell>
          <cell r="I86">
            <v>39536.473999999995</v>
          </cell>
          <cell r="K86">
            <v>-10173.646933333399</v>
          </cell>
          <cell r="M86">
            <v>-122915.58827274141</v>
          </cell>
        </row>
        <row r="89">
          <cell r="Q89">
            <v>72853.802183386913</v>
          </cell>
          <cell r="R89">
            <v>72659.812309920351</v>
          </cell>
        </row>
        <row r="92">
          <cell r="H92">
            <v>165910.58825563418</v>
          </cell>
          <cell r="I92">
            <v>15925.402974292716</v>
          </cell>
        </row>
      </sheetData>
      <sheetData sheetId="22">
        <row r="2">
          <cell r="N2">
            <v>5000</v>
          </cell>
        </row>
        <row r="5">
          <cell r="T5">
            <v>5000</v>
          </cell>
          <cell r="U5">
            <v>4295</v>
          </cell>
        </row>
        <row r="9">
          <cell r="E9">
            <v>267.5</v>
          </cell>
          <cell r="F9">
            <v>266.34133410942962</v>
          </cell>
          <cell r="G9">
            <v>100000</v>
          </cell>
          <cell r="H9">
            <v>99999.999999999971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45.400000000000006</v>
          </cell>
          <cell r="F12">
            <v>56.072649592549496</v>
          </cell>
          <cell r="G12">
            <v>64000</v>
          </cell>
          <cell r="H12">
            <v>62001.840037639493</v>
          </cell>
        </row>
        <row r="13">
          <cell r="E13">
            <v>40.5</v>
          </cell>
          <cell r="F13">
            <v>46.188128055878927</v>
          </cell>
          <cell r="G13">
            <v>49000</v>
          </cell>
          <cell r="H13">
            <v>48859.094816003046</v>
          </cell>
        </row>
        <row r="14">
          <cell r="E14">
            <v>0</v>
          </cell>
          <cell r="F14">
            <v>0</v>
          </cell>
        </row>
        <row r="15">
          <cell r="E15">
            <v>353.4</v>
          </cell>
          <cell r="F15">
            <v>368.60211175785804</v>
          </cell>
        </row>
        <row r="16">
          <cell r="E16">
            <v>837.86</v>
          </cell>
          <cell r="F16">
            <v>878.24447031431896</v>
          </cell>
          <cell r="G16">
            <v>13666.666666666664</v>
          </cell>
          <cell r="H16">
            <v>12456.635101244414</v>
          </cell>
        </row>
        <row r="17">
          <cell r="E17">
            <v>921.01</v>
          </cell>
          <cell r="F17">
            <v>859.31199068684521</v>
          </cell>
          <cell r="G17">
            <v>13806.451612903225</v>
          </cell>
          <cell r="H17">
            <v>12343.535790199541</v>
          </cell>
        </row>
        <row r="19">
          <cell r="E19">
            <v>2.9380000000000002</v>
          </cell>
          <cell r="F19">
            <v>2.8103376018626309</v>
          </cell>
        </row>
        <row r="20">
          <cell r="Q20">
            <v>57608.53333333334</v>
          </cell>
          <cell r="R20">
            <v>56006.768335273577</v>
          </cell>
        </row>
        <row r="21">
          <cell r="Q21">
            <v>15173.686346409911</v>
          </cell>
          <cell r="R21">
            <v>14128.992782305006</v>
          </cell>
        </row>
        <row r="22">
          <cell r="Q22">
            <v>280</v>
          </cell>
          <cell r="R22">
            <v>280.4337601862631</v>
          </cell>
        </row>
        <row r="50">
          <cell r="Q50">
            <v>87718.060161319227</v>
          </cell>
          <cell r="R50">
            <v>86875.731315483121</v>
          </cell>
        </row>
        <row r="56">
          <cell r="L56">
            <v>3617.7979028660106</v>
          </cell>
        </row>
        <row r="80">
          <cell r="H80">
            <v>11487.220000000001</v>
          </cell>
          <cell r="I80">
            <v>10561.558000000001</v>
          </cell>
          <cell r="L80">
            <v>925.66199999999981</v>
          </cell>
        </row>
        <row r="85">
          <cell r="H85">
            <v>6057.137777777777</v>
          </cell>
          <cell r="I85">
            <v>4721.9945099999995</v>
          </cell>
          <cell r="L85">
            <v>1335.143267777778</v>
          </cell>
          <cell r="Q85">
            <v>112000</v>
          </cell>
          <cell r="R85">
            <v>110318.55646100116</v>
          </cell>
        </row>
        <row r="86">
          <cell r="H86">
            <v>103865.34141562616</v>
          </cell>
          <cell r="I86">
            <v>85403.376999999979</v>
          </cell>
          <cell r="K86">
            <v>-7221.7999999999993</v>
          </cell>
          <cell r="M86">
            <v>-17118.767586269954</v>
          </cell>
        </row>
        <row r="89">
          <cell r="Q89">
            <v>73062.219679743255</v>
          </cell>
          <cell r="R89">
            <v>70416.19487776485</v>
          </cell>
        </row>
        <row r="92">
          <cell r="H92">
            <v>77536.169765147773</v>
          </cell>
          <cell r="I92">
            <v>55427.883931392891</v>
          </cell>
        </row>
      </sheetData>
      <sheetData sheetId="23">
        <row r="2">
          <cell r="N2">
            <v>8000</v>
          </cell>
        </row>
        <row r="5">
          <cell r="T5">
            <v>8000</v>
          </cell>
          <cell r="U5">
            <v>3720</v>
          </cell>
        </row>
        <row r="9">
          <cell r="E9">
            <v>281.39999999999998</v>
          </cell>
          <cell r="F9">
            <v>355.77468620403653</v>
          </cell>
          <cell r="G9">
            <v>117000</v>
          </cell>
          <cell r="H9">
            <v>117000.00491126678</v>
          </cell>
        </row>
        <row r="10">
          <cell r="E10">
            <v>68.599999999999994</v>
          </cell>
          <cell r="F10">
            <v>4.8249930881946366</v>
          </cell>
          <cell r="G10">
            <v>117000</v>
          </cell>
          <cell r="H10">
            <v>116999.94269997709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E14">
            <v>0</v>
          </cell>
          <cell r="F14">
            <v>0</v>
          </cell>
        </row>
        <row r="15">
          <cell r="E15">
            <v>350</v>
          </cell>
          <cell r="F15">
            <v>360.59967929223114</v>
          </cell>
        </row>
        <row r="16">
          <cell r="E16">
            <v>708.9</v>
          </cell>
          <cell r="F16">
            <v>848.7392867016863</v>
          </cell>
          <cell r="G16">
            <v>17666.666666666668</v>
          </cell>
          <cell r="H16">
            <v>18336.926404529157</v>
          </cell>
        </row>
        <row r="17">
          <cell r="E17">
            <v>996.5</v>
          </cell>
          <cell r="F17">
            <v>896.99336466685099</v>
          </cell>
          <cell r="G17">
            <v>17544.784945306346</v>
          </cell>
          <cell r="H17">
            <v>20476.82655632354</v>
          </cell>
        </row>
        <row r="19">
          <cell r="E19">
            <v>2.7</v>
          </cell>
          <cell r="F19">
            <v>4.0253469726292499</v>
          </cell>
        </row>
        <row r="20">
          <cell r="Q20">
            <v>73407.278197997774</v>
          </cell>
          <cell r="R20">
            <v>80083.184130494876</v>
          </cell>
        </row>
        <row r="21">
          <cell r="Q21">
            <v>17407.542955326458</v>
          </cell>
          <cell r="R21">
            <v>18385.460602709427</v>
          </cell>
        </row>
        <row r="22">
          <cell r="Q22">
            <v>312.5</v>
          </cell>
          <cell r="R22">
            <v>616.58197401161181</v>
          </cell>
        </row>
        <row r="50">
          <cell r="Q50">
            <v>100398.07240332423</v>
          </cell>
          <cell r="R50">
            <v>121092.47304395906</v>
          </cell>
        </row>
        <row r="56">
          <cell r="L56">
            <v>-74817.730561982913</v>
          </cell>
        </row>
        <row r="80">
          <cell r="H80">
            <v>15113.560000000001</v>
          </cell>
          <cell r="I80">
            <v>18121.131000000001</v>
          </cell>
          <cell r="L80">
            <v>-3007.570999999999</v>
          </cell>
        </row>
        <row r="85">
          <cell r="H85">
            <v>12501.272620014095</v>
          </cell>
          <cell r="I85">
            <v>10925.563699999999</v>
          </cell>
          <cell r="L85">
            <v>1575.7089200140954</v>
          </cell>
          <cell r="Q85">
            <v>122613.5</v>
          </cell>
          <cell r="R85">
            <v>126350.89045643153</v>
          </cell>
        </row>
        <row r="86">
          <cell r="H86">
            <v>150108.58815339208</v>
          </cell>
          <cell r="I86">
            <v>-10044.988000000019</v>
          </cell>
          <cell r="K86">
            <v>13510.666499999983</v>
          </cell>
          <cell r="M86">
            <v>-97414.650011423219</v>
          </cell>
        </row>
        <row r="89">
          <cell r="Q89">
            <v>91127.321153324228</v>
          </cell>
          <cell r="R89">
            <v>99085.226707215916</v>
          </cell>
        </row>
        <row r="92">
          <cell r="H92">
            <v>103989.84689387877</v>
          </cell>
          <cell r="I92">
            <v>-39810.747284929457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96197.561428846195</v>
          </cell>
        </row>
        <row r="89">
          <cell r="Q89">
            <v>78411.450680820199</v>
          </cell>
        </row>
        <row r="90">
          <cell r="Q90">
            <v>17786.110748025996</v>
          </cell>
        </row>
      </sheetData>
      <sheetData sheetId="1">
        <row r="5">
          <cell r="T5">
            <v>103910</v>
          </cell>
        </row>
        <row r="85">
          <cell r="Q85">
            <v>93480.665857137355</v>
          </cell>
        </row>
        <row r="89">
          <cell r="Q89">
            <v>80496.449431627421</v>
          </cell>
        </row>
        <row r="90">
          <cell r="Q90">
            <v>12984.216425509934</v>
          </cell>
        </row>
      </sheetData>
      <sheetData sheetId="2">
        <row r="5">
          <cell r="T5">
            <v>130221</v>
          </cell>
        </row>
        <row r="85">
          <cell r="Q85">
            <v>96016.648996705597</v>
          </cell>
        </row>
        <row r="89">
          <cell r="Q89">
            <v>78191.758310460515</v>
          </cell>
        </row>
        <row r="90">
          <cell r="Q90">
            <v>17824.890686245082</v>
          </cell>
        </row>
      </sheetData>
      <sheetData sheetId="3"/>
      <sheetData sheetId="4"/>
      <sheetData sheetId="5">
        <row r="5">
          <cell r="T5">
            <v>62426</v>
          </cell>
        </row>
        <row r="85">
          <cell r="Q85">
            <v>101095.65574191067</v>
          </cell>
        </row>
        <row r="89">
          <cell r="Q89">
            <v>75393.476845256198</v>
          </cell>
        </row>
        <row r="90">
          <cell r="Q90">
            <v>25702.17889665447</v>
          </cell>
        </row>
      </sheetData>
      <sheetData sheetId="6">
        <row r="85">
          <cell r="Q85">
            <v>94288.242529765717</v>
          </cell>
        </row>
        <row r="86">
          <cell r="H86">
            <v>151421.27199999196</v>
          </cell>
        </row>
        <row r="89">
          <cell r="Q89">
            <v>82720.758054197926</v>
          </cell>
        </row>
        <row r="92">
          <cell r="H92">
            <v>-2850.3993726428889</v>
          </cell>
        </row>
      </sheetData>
      <sheetData sheetId="7">
        <row r="85">
          <cell r="Q85">
            <v>96693.589131174173</v>
          </cell>
        </row>
        <row r="86">
          <cell r="H86">
            <v>63893.65999999972</v>
          </cell>
        </row>
        <row r="89">
          <cell r="Q89">
            <v>82558.134593952011</v>
          </cell>
        </row>
        <row r="92">
          <cell r="H92">
            <v>-43296.750818870911</v>
          </cell>
        </row>
      </sheetData>
      <sheetData sheetId="8">
        <row r="85">
          <cell r="Q85">
            <v>88417.961797580763</v>
          </cell>
        </row>
        <row r="86">
          <cell r="H86">
            <v>73448.677999999825</v>
          </cell>
        </row>
        <row r="89">
          <cell r="Q89">
            <v>77319.907594549077</v>
          </cell>
        </row>
        <row r="92">
          <cell r="H92">
            <v>-23888.845429942143</v>
          </cell>
        </row>
      </sheetData>
      <sheetData sheetId="9">
        <row r="85">
          <cell r="Q85">
            <v>94775.701418673707</v>
          </cell>
        </row>
        <row r="86">
          <cell r="H86">
            <v>74662.069000000061</v>
          </cell>
        </row>
        <row r="89">
          <cell r="Q89">
            <v>75594.088914549662</v>
          </cell>
        </row>
        <row r="92">
          <cell r="H92">
            <v>26523.304845752093</v>
          </cell>
        </row>
      </sheetData>
      <sheetData sheetId="10">
        <row r="85">
          <cell r="Q85">
            <v>103210.43218720151</v>
          </cell>
        </row>
        <row r="86">
          <cell r="H86">
            <v>57651.192999999956</v>
          </cell>
        </row>
        <row r="89">
          <cell r="Q89">
            <v>83827.019807887351</v>
          </cell>
        </row>
        <row r="92">
          <cell r="H92">
            <v>-16703.859745878071</v>
          </cell>
        </row>
      </sheetData>
      <sheetData sheetId="11">
        <row r="85">
          <cell r="Q85">
            <v>94876.26084524233</v>
          </cell>
        </row>
        <row r="86">
          <cell r="H86">
            <v>132606.05799999979</v>
          </cell>
        </row>
        <row r="89">
          <cell r="Q89">
            <v>77092.366140393497</v>
          </cell>
        </row>
        <row r="92">
          <cell r="H92">
            <v>52377.762632854836</v>
          </cell>
        </row>
      </sheetData>
      <sheetData sheetId="12">
        <row r="85">
          <cell r="Q85">
            <v>90368.87586964482</v>
          </cell>
        </row>
        <row r="86">
          <cell r="H86">
            <v>10398.04699999997</v>
          </cell>
        </row>
        <row r="89">
          <cell r="Q89">
            <v>78384.071402416681</v>
          </cell>
        </row>
        <row r="92">
          <cell r="H92">
            <v>-42669.719494764962</v>
          </cell>
        </row>
      </sheetData>
      <sheetData sheetId="13">
        <row r="85">
          <cell r="Q85">
            <v>97536.80465159037</v>
          </cell>
        </row>
        <row r="86">
          <cell r="H86">
            <v>142767.62600000008</v>
          </cell>
        </row>
        <row r="89">
          <cell r="Q89">
            <v>81346.354884661341</v>
          </cell>
        </row>
        <row r="92">
          <cell r="H92">
            <v>51510.287393934093</v>
          </cell>
        </row>
      </sheetData>
      <sheetData sheetId="14">
        <row r="85">
          <cell r="Q85">
            <v>94125.48173712971</v>
          </cell>
        </row>
        <row r="86">
          <cell r="H86">
            <v>152354.61799999996</v>
          </cell>
        </row>
        <row r="89">
          <cell r="Q89">
            <v>72678.270995110739</v>
          </cell>
        </row>
        <row r="92">
          <cell r="H92">
            <v>96056.72788563848</v>
          </cell>
        </row>
      </sheetData>
      <sheetData sheetId="15">
        <row r="85">
          <cell r="Q85">
            <v>93119.705075445818</v>
          </cell>
        </row>
        <row r="86">
          <cell r="H86">
            <v>76578.861000000135</v>
          </cell>
        </row>
        <row r="89">
          <cell r="Q89">
            <v>74871.475240054875</v>
          </cell>
        </row>
        <row r="92">
          <cell r="H92">
            <v>18191.433519990314</v>
          </cell>
        </row>
      </sheetData>
      <sheetData sheetId="16">
        <row r="85">
          <cell r="Q85">
            <v>93698.609335038374</v>
          </cell>
        </row>
        <row r="86">
          <cell r="H86">
            <v>100634.15100000014</v>
          </cell>
        </row>
        <row r="89">
          <cell r="Q89">
            <v>76355.668606138104</v>
          </cell>
        </row>
        <row r="92">
          <cell r="H92">
            <v>37610.824686836058</v>
          </cell>
        </row>
      </sheetData>
      <sheetData sheetId="17">
        <row r="85">
          <cell r="Q85">
            <v>99574.157145861085</v>
          </cell>
        </row>
        <row r="86">
          <cell r="H86">
            <v>157770.48399999997</v>
          </cell>
        </row>
        <row r="89">
          <cell r="Q89">
            <v>78942.319363655479</v>
          </cell>
        </row>
        <row r="92">
          <cell r="H92">
            <v>96676.348289703034</v>
          </cell>
        </row>
      </sheetData>
      <sheetData sheetId="18">
        <row r="85">
          <cell r="Q85">
            <v>97210.458376683528</v>
          </cell>
        </row>
        <row r="86">
          <cell r="H86">
            <v>518141.14199999964</v>
          </cell>
        </row>
        <row r="89">
          <cell r="Q89">
            <v>75321.505155518884</v>
          </cell>
        </row>
        <row r="92">
          <cell r="H92">
            <v>381748.4907515971</v>
          </cell>
        </row>
      </sheetData>
      <sheetData sheetId="19">
        <row r="85">
          <cell r="Q85">
            <v>108943.59253246753</v>
          </cell>
        </row>
        <row r="86">
          <cell r="H86">
            <v>104308.31</v>
          </cell>
        </row>
        <row r="89">
          <cell r="Q89">
            <v>73906.808441558445</v>
          </cell>
        </row>
        <row r="92">
          <cell r="H92">
            <v>80200.221089201528</v>
          </cell>
        </row>
      </sheetData>
      <sheetData sheetId="20">
        <row r="85">
          <cell r="Q85">
            <v>111159.09896930068</v>
          </cell>
        </row>
        <row r="86">
          <cell r="H86">
            <v>268545.38799999998</v>
          </cell>
        </row>
        <row r="89">
          <cell r="Q89">
            <v>72170.11958328716</v>
          </cell>
        </row>
        <row r="92">
          <cell r="H92">
            <v>228510.93992717224</v>
          </cell>
        </row>
      </sheetData>
      <sheetData sheetId="21">
        <row r="85">
          <cell r="Q85">
            <v>95264.477480738409</v>
          </cell>
        </row>
        <row r="86">
          <cell r="H86">
            <v>51295.807000000088</v>
          </cell>
        </row>
        <row r="89">
          <cell r="Q89">
            <v>74505.128703655821</v>
          </cell>
        </row>
        <row r="92">
          <cell r="H92">
            <v>14527.563950649703</v>
          </cell>
        </row>
      </sheetData>
      <sheetData sheetId="22">
        <row r="85">
          <cell r="Q85">
            <v>120254.04266491633</v>
          </cell>
        </row>
        <row r="86">
          <cell r="H86">
            <v>4794.0700000000506</v>
          </cell>
        </row>
        <row r="89">
          <cell r="Q89">
            <v>91133.112085769986</v>
          </cell>
        </row>
        <row r="92">
          <cell r="H92">
            <v>-9831.4060121633756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Sheet1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8735.5020000000004</v>
          </cell>
          <cell r="F3">
            <v>9724.5229999999992</v>
          </cell>
          <cell r="G3">
            <v>15762.77</v>
          </cell>
          <cell r="H3">
            <v>11123.664999999999</v>
          </cell>
          <cell r="I3">
            <v>10256.286000000002</v>
          </cell>
          <cell r="J3">
            <v>6733.5930000000008</v>
          </cell>
          <cell r="K3">
            <v>7798.8620000000001</v>
          </cell>
          <cell r="L3">
            <v>6814.7489999999989</v>
          </cell>
          <cell r="M3">
            <v>7943.9050000000007</v>
          </cell>
          <cell r="N3">
            <v>6655.6190000000006</v>
          </cell>
          <cell r="Q3">
            <v>91549.474000000002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Q4">
            <v>0</v>
          </cell>
        </row>
        <row r="5">
          <cell r="E5">
            <v>8735.5020000000004</v>
          </cell>
          <cell r="F5">
            <v>9724.5229999999992</v>
          </cell>
          <cell r="G5">
            <v>15762.77</v>
          </cell>
          <cell r="H5">
            <v>11123.664999999999</v>
          </cell>
          <cell r="I5">
            <v>10256.286000000002</v>
          </cell>
          <cell r="J5">
            <v>6733.5930000000008</v>
          </cell>
          <cell r="K5">
            <v>7798.8620000000001</v>
          </cell>
          <cell r="L5">
            <v>6814.7489999999989</v>
          </cell>
          <cell r="M5">
            <v>7943.9050000000007</v>
          </cell>
          <cell r="N5">
            <v>6655.6190000000006</v>
          </cell>
          <cell r="Q5">
            <v>91549.474000000002</v>
          </cell>
        </row>
        <row r="6">
          <cell r="E6">
            <v>6607708.5209999997</v>
          </cell>
          <cell r="F6">
            <v>7241703.784</v>
          </cell>
          <cell r="G6">
            <v>11603618.745999999</v>
          </cell>
          <cell r="H6">
            <v>8901278.341</v>
          </cell>
          <cell r="I6">
            <v>8184531.8760000002</v>
          </cell>
          <cell r="J6">
            <v>5251635.0710000005</v>
          </cell>
          <cell r="K6">
            <v>6192904.2060000002</v>
          </cell>
          <cell r="L6">
            <v>5219291.6689999998</v>
          </cell>
          <cell r="M6">
            <v>6288344.6279999996</v>
          </cell>
          <cell r="N6">
            <v>5385244.2309999997</v>
          </cell>
          <cell r="Q6">
            <v>70876261.072999999</v>
          </cell>
        </row>
        <row r="7">
          <cell r="E7">
            <v>872411.16300000064</v>
          </cell>
          <cell r="F7">
            <v>1035291.3360000001</v>
          </cell>
          <cell r="G7">
            <v>931609.94199999981</v>
          </cell>
          <cell r="H7">
            <v>1246225.8760000002</v>
          </cell>
          <cell r="I7">
            <v>1840573.7359999996</v>
          </cell>
          <cell r="J7">
            <v>1804853.0889999997</v>
          </cell>
          <cell r="K7">
            <v>1161962.4329999993</v>
          </cell>
          <cell r="L7">
            <v>1191782.4460000005</v>
          </cell>
          <cell r="M7">
            <v>1321863.1440000003</v>
          </cell>
          <cell r="N7">
            <v>1538532.2659999998</v>
          </cell>
          <cell r="Q7">
            <v>12945105.430999998</v>
          </cell>
        </row>
        <row r="8">
          <cell r="E8">
            <v>7480119.6840000004</v>
          </cell>
          <cell r="F8">
            <v>8276995.1200000001</v>
          </cell>
          <cell r="G8">
            <v>12535228.687999999</v>
          </cell>
          <cell r="H8">
            <v>10147504.217</v>
          </cell>
          <cell r="I8">
            <v>10025105.612</v>
          </cell>
          <cell r="J8">
            <v>7056488.1600000001</v>
          </cell>
          <cell r="K8">
            <v>7354866.6389999995</v>
          </cell>
          <cell r="L8">
            <v>6411074.1150000002</v>
          </cell>
          <cell r="M8">
            <v>7610207.7719999999</v>
          </cell>
          <cell r="N8">
            <v>6923776.4969999995</v>
          </cell>
          <cell r="Q8">
            <v>83821366.503999993</v>
          </cell>
        </row>
        <row r="9">
          <cell r="E9">
            <v>6490572.2549999999</v>
          </cell>
          <cell r="F9">
            <v>7128840.7779999999</v>
          </cell>
          <cell r="G9">
            <v>11586393.280999999</v>
          </cell>
          <cell r="H9">
            <v>8774441.2469999995</v>
          </cell>
          <cell r="I9">
            <v>8048622.2910000002</v>
          </cell>
          <cell r="J9">
            <v>5116718.3039999995</v>
          </cell>
          <cell r="K9">
            <v>6109067.9819999998</v>
          </cell>
          <cell r="L9">
            <v>5101256.4989999989</v>
          </cell>
          <cell r="M9">
            <v>6136719.0360000003</v>
          </cell>
          <cell r="N9">
            <v>5299389.233</v>
          </cell>
          <cell r="Q9">
            <v>69792020.905999988</v>
          </cell>
        </row>
        <row r="10">
          <cell r="E10">
            <v>843636.93700000085</v>
          </cell>
          <cell r="F10">
            <v>998493.29900000058</v>
          </cell>
          <cell r="G10">
            <v>911990.84300000034</v>
          </cell>
          <cell r="H10">
            <v>1205319.1109999996</v>
          </cell>
          <cell r="I10">
            <v>1792788.5919999992</v>
          </cell>
          <cell r="J10">
            <v>1764712.0520000001</v>
          </cell>
          <cell r="K10">
            <v>1129219.4780000001</v>
          </cell>
          <cell r="L10">
            <v>1162527.9860000005</v>
          </cell>
          <cell r="M10">
            <v>1289769.3579999991</v>
          </cell>
          <cell r="N10">
            <v>1494232.9290000005</v>
          </cell>
          <cell r="Q10">
            <v>12592690.585000001</v>
          </cell>
        </row>
        <row r="11">
          <cell r="E11">
            <v>7334209.1920000007</v>
          </cell>
          <cell r="F11">
            <v>8127334.0770000005</v>
          </cell>
          <cell r="G11">
            <v>12498384.124</v>
          </cell>
          <cell r="H11">
            <v>9979760.3579999991</v>
          </cell>
          <cell r="I11">
            <v>9841410.8829999994</v>
          </cell>
          <cell r="J11">
            <v>6881430.3559999997</v>
          </cell>
          <cell r="K11">
            <v>7238287.46</v>
          </cell>
          <cell r="L11">
            <v>6263784.4849999994</v>
          </cell>
          <cell r="M11">
            <v>7426488.3939999994</v>
          </cell>
          <cell r="N11">
            <v>6793622.1620000005</v>
          </cell>
          <cell r="Q11">
            <v>82384711.490999997</v>
          </cell>
        </row>
        <row r="12">
          <cell r="E12">
            <v>117136.26599999983</v>
          </cell>
          <cell r="F12">
            <v>112863.00600000005</v>
          </cell>
          <cell r="G12">
            <v>17225.464999999851</v>
          </cell>
          <cell r="H12">
            <v>126837.09400000051</v>
          </cell>
          <cell r="I12">
            <v>135909.58499999996</v>
          </cell>
          <cell r="J12">
            <v>134916.76700000092</v>
          </cell>
          <cell r="K12">
            <v>83836.224000000395</v>
          </cell>
          <cell r="L12">
            <v>118035.17000000086</v>
          </cell>
          <cell r="M12">
            <v>151625.59199999925</v>
          </cell>
          <cell r="N12">
            <v>85854.997999999672</v>
          </cell>
          <cell r="Q12">
            <v>1084240.1670000106</v>
          </cell>
        </row>
        <row r="13">
          <cell r="E13">
            <v>28774.225999999791</v>
          </cell>
          <cell r="F13">
            <v>36798.036999999546</v>
          </cell>
          <cell r="G13">
            <v>19619.098999999464</v>
          </cell>
          <cell r="H13">
            <v>40906.765000000596</v>
          </cell>
          <cell r="I13">
            <v>47785.14400000032</v>
          </cell>
          <cell r="J13">
            <v>40141.036999999546</v>
          </cell>
          <cell r="K13">
            <v>32742.954999999143</v>
          </cell>
          <cell r="L13">
            <v>29254.459999999963</v>
          </cell>
          <cell r="M13">
            <v>32093.786000001244</v>
          </cell>
          <cell r="N13">
            <v>44299.336999999359</v>
          </cell>
          <cell r="Q13">
            <v>352414.84599999711</v>
          </cell>
        </row>
        <row r="14">
          <cell r="E14">
            <v>145910.49199999962</v>
          </cell>
          <cell r="F14">
            <v>149661.0429999996</v>
          </cell>
          <cell r="G14">
            <v>36844.563999999315</v>
          </cell>
          <cell r="H14">
            <v>167743.8590000011</v>
          </cell>
          <cell r="I14">
            <v>183694.72900000028</v>
          </cell>
          <cell r="J14">
            <v>175057.80400000047</v>
          </cell>
          <cell r="K14">
            <v>116579.17899999954</v>
          </cell>
          <cell r="L14">
            <v>147289.63000000082</v>
          </cell>
          <cell r="M14">
            <v>183719.37800000049</v>
          </cell>
          <cell r="N14">
            <v>130154.33499999903</v>
          </cell>
          <cell r="Q14">
            <v>1436655.0129999965</v>
          </cell>
        </row>
        <row r="15">
          <cell r="E15">
            <v>70886.78</v>
          </cell>
          <cell r="F15">
            <v>70297.97</v>
          </cell>
          <cell r="G15">
            <v>70297.97</v>
          </cell>
          <cell r="H15">
            <v>70297.97</v>
          </cell>
          <cell r="I15">
            <v>70297.97</v>
          </cell>
          <cell r="J15">
            <v>72242.73</v>
          </cell>
          <cell r="K15">
            <v>68261.5</v>
          </cell>
          <cell r="L15">
            <v>67095.42</v>
          </cell>
          <cell r="M15">
            <v>78359.399999999994</v>
          </cell>
          <cell r="N15">
            <v>73334.559999999998</v>
          </cell>
          <cell r="Q15">
            <v>711372.27</v>
          </cell>
        </row>
        <row r="16">
          <cell r="E16">
            <v>15847.56</v>
          </cell>
          <cell r="F16">
            <v>15847.56</v>
          </cell>
          <cell r="G16">
            <v>14791.781999999999</v>
          </cell>
          <cell r="H16">
            <v>15847.56</v>
          </cell>
          <cell r="I16">
            <v>15847.56</v>
          </cell>
          <cell r="J16">
            <v>16463.457999999999</v>
          </cell>
          <cell r="K16">
            <v>15534.69</v>
          </cell>
          <cell r="L16">
            <v>15180.11</v>
          </cell>
          <cell r="M16">
            <v>19598.073</v>
          </cell>
          <cell r="N16">
            <v>15448.29</v>
          </cell>
          <cell r="Q16">
            <v>160406.64300000001</v>
          </cell>
        </row>
        <row r="17">
          <cell r="E17">
            <v>8648.6849999999995</v>
          </cell>
          <cell r="F17">
            <v>8648.6849999999995</v>
          </cell>
          <cell r="G17">
            <v>8648.6849999999995</v>
          </cell>
          <cell r="H17">
            <v>8648.6849999999995</v>
          </cell>
          <cell r="I17">
            <v>8648.6849999999995</v>
          </cell>
          <cell r="J17">
            <v>8648.6849999999995</v>
          </cell>
          <cell r="K17">
            <v>8648.6849999999995</v>
          </cell>
          <cell r="L17">
            <v>8194.3140000000003</v>
          </cell>
          <cell r="M17">
            <v>8194.3140000000003</v>
          </cell>
          <cell r="N17">
            <v>8194.3140000000003</v>
          </cell>
          <cell r="Q17">
            <v>85123.736999999994</v>
          </cell>
        </row>
        <row r="18">
          <cell r="E18">
            <v>95383.024999999994</v>
          </cell>
          <cell r="F18">
            <v>94794.214999999997</v>
          </cell>
          <cell r="G18">
            <v>93738.437000000005</v>
          </cell>
          <cell r="H18">
            <v>94794.214999999997</v>
          </cell>
          <cell r="I18">
            <v>94794.214999999997</v>
          </cell>
          <cell r="J18">
            <v>97354.872999999992</v>
          </cell>
          <cell r="K18">
            <v>92444.875</v>
          </cell>
          <cell r="L18">
            <v>90469.843999999997</v>
          </cell>
          <cell r="M18">
            <v>106151.787</v>
          </cell>
          <cell r="N18">
            <v>96977.164000000004</v>
          </cell>
          <cell r="Q18">
            <v>956902.65</v>
          </cell>
        </row>
        <row r="19">
          <cell r="E19">
            <v>11423.789000000001</v>
          </cell>
          <cell r="F19">
            <v>9490.2829999999994</v>
          </cell>
          <cell r="G19">
            <v>27505.001</v>
          </cell>
          <cell r="H19">
            <v>14227.584999999999</v>
          </cell>
          <cell r="I19">
            <v>12026.555</v>
          </cell>
          <cell r="J19">
            <v>12722.468999999999</v>
          </cell>
          <cell r="K19">
            <v>10810.249</v>
          </cell>
          <cell r="L19">
            <v>10273.546</v>
          </cell>
          <cell r="M19">
            <v>26749.444</v>
          </cell>
          <cell r="N19">
            <v>9447.8739999999998</v>
          </cell>
          <cell r="Q19">
            <v>144676.79500000001</v>
          </cell>
        </row>
        <row r="20">
          <cell r="E20">
            <v>1332.098</v>
          </cell>
          <cell r="F20">
            <v>4867.2749999999996</v>
          </cell>
          <cell r="G20">
            <v>8562.9760000000006</v>
          </cell>
          <cell r="H20">
            <v>1750.319</v>
          </cell>
          <cell r="I20">
            <v>1482.3530000000001</v>
          </cell>
          <cell r="J20">
            <v>2219.4360000000001</v>
          </cell>
          <cell r="K20">
            <v>1949.855</v>
          </cell>
          <cell r="L20">
            <v>1640.944</v>
          </cell>
          <cell r="M20">
            <v>1499.46</v>
          </cell>
          <cell r="N20">
            <v>3336.2950000000001</v>
          </cell>
          <cell r="Q20">
            <v>28641.010999999999</v>
          </cell>
        </row>
        <row r="21">
          <cell r="E21">
            <v>2590.9499999999998</v>
          </cell>
          <cell r="F21">
            <v>2655.01</v>
          </cell>
          <cell r="G21">
            <v>906.6</v>
          </cell>
          <cell r="H21">
            <v>2268.48</v>
          </cell>
          <cell r="I21">
            <v>2766.7</v>
          </cell>
          <cell r="J21">
            <v>1787.662</v>
          </cell>
          <cell r="K21">
            <v>2813.91</v>
          </cell>
          <cell r="L21">
            <v>1484.14</v>
          </cell>
          <cell r="M21">
            <v>2096.6799999999998</v>
          </cell>
          <cell r="N21">
            <v>1037.1600000000001</v>
          </cell>
          <cell r="Q21">
            <v>20407.292000000001</v>
          </cell>
        </row>
        <row r="22">
          <cell r="E22">
            <v>0</v>
          </cell>
          <cell r="F22">
            <v>0</v>
          </cell>
          <cell r="G22">
            <v>350</v>
          </cell>
          <cell r="H22">
            <v>0</v>
          </cell>
          <cell r="I22">
            <v>0</v>
          </cell>
          <cell r="J22">
            <v>0</v>
          </cell>
          <cell r="K22">
            <v>150</v>
          </cell>
          <cell r="L22">
            <v>150</v>
          </cell>
          <cell r="M22">
            <v>0</v>
          </cell>
          <cell r="N22">
            <v>0</v>
          </cell>
          <cell r="Q22">
            <v>650</v>
          </cell>
        </row>
        <row r="23">
          <cell r="E23">
            <v>1579.2090000000001</v>
          </cell>
          <cell r="F23">
            <v>1603.9970000000001</v>
          </cell>
          <cell r="G23">
            <v>1612.046</v>
          </cell>
          <cell r="H23">
            <v>1701.327</v>
          </cell>
          <cell r="I23">
            <v>1586.297</v>
          </cell>
          <cell r="J23">
            <v>1695.8530000000001</v>
          </cell>
          <cell r="K23">
            <v>1475.009</v>
          </cell>
          <cell r="L23">
            <v>1648.7619999999999</v>
          </cell>
          <cell r="M23">
            <v>1326.7360000000001</v>
          </cell>
          <cell r="N23">
            <v>1470.454</v>
          </cell>
          <cell r="Q23">
            <v>15699.69</v>
          </cell>
        </row>
        <row r="24">
          <cell r="E24">
            <v>452.53500000000003</v>
          </cell>
          <cell r="F24">
            <v>341.00099999999998</v>
          </cell>
          <cell r="G24">
            <v>631.197</v>
          </cell>
          <cell r="H24">
            <v>450.916</v>
          </cell>
          <cell r="I24">
            <v>454.90899999999999</v>
          </cell>
          <cell r="J24">
            <v>566.16300000000001</v>
          </cell>
          <cell r="K24">
            <v>574.34199999999998</v>
          </cell>
          <cell r="L24">
            <v>453.05599999999998</v>
          </cell>
          <cell r="M24">
            <v>477.08699999999999</v>
          </cell>
          <cell r="N24">
            <v>514.54600000000005</v>
          </cell>
          <cell r="Q24">
            <v>4915.7520000000004</v>
          </cell>
        </row>
        <row r="25">
          <cell r="E25">
            <v>170.892</v>
          </cell>
          <cell r="F25">
            <v>170.892</v>
          </cell>
          <cell r="G25">
            <v>170.892</v>
          </cell>
          <cell r="H25">
            <v>170.892</v>
          </cell>
          <cell r="I25">
            <v>170.892</v>
          </cell>
          <cell r="J25">
            <v>170.892</v>
          </cell>
          <cell r="K25">
            <v>240.892</v>
          </cell>
          <cell r="L25">
            <v>220.892</v>
          </cell>
          <cell r="M25">
            <v>230.892</v>
          </cell>
          <cell r="N25">
            <v>-24.108000000000001</v>
          </cell>
          <cell r="Q25">
            <v>1693.9200000000003</v>
          </cell>
        </row>
        <row r="26">
          <cell r="E26">
            <v>3462.85</v>
          </cell>
          <cell r="F26">
            <v>3462.85</v>
          </cell>
          <cell r="G26">
            <v>3462.85</v>
          </cell>
          <cell r="H26">
            <v>3462.85</v>
          </cell>
          <cell r="I26">
            <v>3462.85</v>
          </cell>
          <cell r="J26">
            <v>3462.85</v>
          </cell>
          <cell r="K26">
            <v>3810.9</v>
          </cell>
          <cell r="L26">
            <v>3582.8</v>
          </cell>
          <cell r="M26">
            <v>3582.8</v>
          </cell>
          <cell r="N26">
            <v>3582.8</v>
          </cell>
          <cell r="Q26">
            <v>35336.400000000001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Q27">
            <v>0</v>
          </cell>
        </row>
        <row r="28">
          <cell r="E28">
            <v>1016.34</v>
          </cell>
          <cell r="F28">
            <v>6.71</v>
          </cell>
          <cell r="G28">
            <v>1182.6600000000001</v>
          </cell>
          <cell r="H28">
            <v>29248.03</v>
          </cell>
          <cell r="I28">
            <v>9.4</v>
          </cell>
          <cell r="J28">
            <v>37.6</v>
          </cell>
          <cell r="K28">
            <v>28319.42</v>
          </cell>
          <cell r="L28">
            <v>222.52</v>
          </cell>
          <cell r="M28">
            <v>40</v>
          </cell>
          <cell r="N28">
            <v>28071.16</v>
          </cell>
          <cell r="Q28">
            <v>88153.84</v>
          </cell>
        </row>
        <row r="29">
          <cell r="E29">
            <v>122.22</v>
          </cell>
          <cell r="F29">
            <v>130.61000000000001</v>
          </cell>
          <cell r="G29">
            <v>59.6</v>
          </cell>
          <cell r="H29">
            <v>172.74</v>
          </cell>
          <cell r="I29">
            <v>90.4</v>
          </cell>
          <cell r="J29">
            <v>125.82</v>
          </cell>
          <cell r="K29">
            <v>55.2</v>
          </cell>
          <cell r="L29">
            <v>89.9</v>
          </cell>
          <cell r="M29">
            <v>39</v>
          </cell>
          <cell r="N29">
            <v>213.59</v>
          </cell>
          <cell r="Q29">
            <v>1099.0800000000002</v>
          </cell>
        </row>
        <row r="30">
          <cell r="E30">
            <v>6089.4709999999995</v>
          </cell>
          <cell r="F30">
            <v>6078.3440000000001</v>
          </cell>
          <cell r="G30">
            <v>6389.5969999999998</v>
          </cell>
          <cell r="H30">
            <v>6504.049</v>
          </cell>
          <cell r="I30">
            <v>6072.6390000000001</v>
          </cell>
          <cell r="J30">
            <v>6187.9579999999996</v>
          </cell>
          <cell r="K30">
            <v>6411.683</v>
          </cell>
          <cell r="L30">
            <v>6228.8789999999999</v>
          </cell>
          <cell r="M30">
            <v>6170.7790000000005</v>
          </cell>
          <cell r="N30">
            <v>10709.460999999999</v>
          </cell>
          <cell r="Q30">
            <v>66842.86</v>
          </cell>
        </row>
        <row r="31">
          <cell r="E31">
            <v>14376.107</v>
          </cell>
          <cell r="F31">
            <v>9399.77</v>
          </cell>
          <cell r="G31">
            <v>5339.3</v>
          </cell>
          <cell r="H31">
            <v>7303.66</v>
          </cell>
          <cell r="I31">
            <v>8858.6</v>
          </cell>
          <cell r="J31">
            <v>7360.41</v>
          </cell>
          <cell r="K31">
            <v>8734.0300000000007</v>
          </cell>
          <cell r="L31">
            <v>7394.56</v>
          </cell>
          <cell r="M31">
            <v>16464.91</v>
          </cell>
          <cell r="N31">
            <v>10145.23</v>
          </cell>
          <cell r="Q31">
            <v>95376.57699999999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Q32">
            <v>0</v>
          </cell>
        </row>
        <row r="33">
          <cell r="E33">
            <v>419.411</v>
          </cell>
          <cell r="F33">
            <v>4.032</v>
          </cell>
          <cell r="G33">
            <v>68.8</v>
          </cell>
          <cell r="H33">
            <v>243.922</v>
          </cell>
          <cell r="I33">
            <v>99.524000000000001</v>
          </cell>
          <cell r="J33">
            <v>163.09700000000001</v>
          </cell>
          <cell r="K33">
            <v>425.44299999999998</v>
          </cell>
          <cell r="L33">
            <v>82.5</v>
          </cell>
          <cell r="M33">
            <v>30.9</v>
          </cell>
          <cell r="N33">
            <v>720.1</v>
          </cell>
          <cell r="Q33">
            <v>2257.7289999999998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Q34">
            <v>0</v>
          </cell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Q35">
            <v>0</v>
          </cell>
        </row>
        <row r="36">
          <cell r="E36">
            <v>43035.871999999996</v>
          </cell>
          <cell r="F36">
            <v>38210.773999999998</v>
          </cell>
          <cell r="G36">
            <v>56241.519000000008</v>
          </cell>
          <cell r="H36">
            <v>67504.77</v>
          </cell>
          <cell r="I36">
            <v>37081.118999999999</v>
          </cell>
          <cell r="J36">
            <v>36500.21</v>
          </cell>
          <cell r="K36">
            <v>65770.933000000005</v>
          </cell>
          <cell r="L36">
            <v>33472.499000000003</v>
          </cell>
          <cell r="M36">
            <v>58708.688000000002</v>
          </cell>
          <cell r="N36">
            <v>69224.561999999991</v>
          </cell>
          <cell r="Q36">
            <v>505750.946</v>
          </cell>
        </row>
        <row r="37">
          <cell r="E37">
            <v>138418.897</v>
          </cell>
          <cell r="F37">
            <v>133004.989</v>
          </cell>
          <cell r="G37">
            <v>149979.95600000001</v>
          </cell>
          <cell r="H37">
            <v>162298.98499999999</v>
          </cell>
          <cell r="I37">
            <v>131875.334</v>
          </cell>
          <cell r="J37">
            <v>133855.08299999998</v>
          </cell>
          <cell r="K37">
            <v>158215.80800000002</v>
          </cell>
          <cell r="L37">
            <v>123942.34299999999</v>
          </cell>
          <cell r="M37">
            <v>164860.47500000001</v>
          </cell>
          <cell r="N37">
            <v>166201.726</v>
          </cell>
          <cell r="Q37">
            <v>1462653.5959999999</v>
          </cell>
        </row>
        <row r="38">
          <cell r="E38">
            <v>7491.5949999996228</v>
          </cell>
          <cell r="F38">
            <v>16656.053999999596</v>
          </cell>
          <cell r="G38">
            <v>-113135.39200000069</v>
          </cell>
          <cell r="H38">
            <v>5444.8740000011167</v>
          </cell>
          <cell r="I38">
            <v>51819.395000000281</v>
          </cell>
          <cell r="J38">
            <v>41202.721000000485</v>
          </cell>
          <cell r="K38">
            <v>-41636.629000000481</v>
          </cell>
          <cell r="L38">
            <v>23347.287000000826</v>
          </cell>
          <cell r="M38">
            <v>18858.903000000486</v>
          </cell>
          <cell r="N38">
            <v>-36047.391000000964</v>
          </cell>
          <cell r="Q38">
            <v>-25998.58300000336</v>
          </cell>
        </row>
        <row r="39">
          <cell r="E39">
            <v>5794.3459999999995</v>
          </cell>
          <cell r="F39">
            <v>5794.3410000000003</v>
          </cell>
          <cell r="G39">
            <v>5734.9560000000001</v>
          </cell>
          <cell r="H39">
            <v>5716.42</v>
          </cell>
          <cell r="I39">
            <v>5556.6629999999996</v>
          </cell>
          <cell r="J39">
            <v>5556.652</v>
          </cell>
          <cell r="K39">
            <v>5186.2629999999999</v>
          </cell>
          <cell r="L39">
            <v>5186.2529999999997</v>
          </cell>
          <cell r="M39">
            <v>5186.2629999999999</v>
          </cell>
          <cell r="N39">
            <v>1039.394</v>
          </cell>
          <cell r="Q39">
            <v>50751.550999999999</v>
          </cell>
        </row>
        <row r="40">
          <cell r="E40">
            <v>1697.2489999996233</v>
          </cell>
          <cell r="F40">
            <v>10861.712999999596</v>
          </cell>
          <cell r="G40">
            <v>-118870.3480000007</v>
          </cell>
          <cell r="H40">
            <v>-271.54599999888342</v>
          </cell>
          <cell r="I40">
            <v>46262.73200000028</v>
          </cell>
          <cell r="J40">
            <v>35646.069000000483</v>
          </cell>
          <cell r="K40">
            <v>-46822.89200000048</v>
          </cell>
          <cell r="L40">
            <v>18161.034000000825</v>
          </cell>
          <cell r="M40">
            <v>13672.640000000487</v>
          </cell>
          <cell r="N40">
            <v>-37086.785000000964</v>
          </cell>
          <cell r="Q40">
            <v>-76750.134000003367</v>
          </cell>
        </row>
        <row r="41">
          <cell r="E41">
            <v>2.2690131598162048E-4</v>
          </cell>
          <cell r="F41">
            <v>1.3122773231742095E-3</v>
          </cell>
          <cell r="G41">
            <v>-9.482902223698202E-3</v>
          </cell>
          <cell r="H41">
            <v>-2.6759880478193392E-5</v>
          </cell>
          <cell r="I41">
            <v>4.6146877439998263E-3</v>
          </cell>
          <cell r="J41">
            <v>5.0515310437367024E-3</v>
          </cell>
          <cell r="K41">
            <v>-6.3662462282751504E-3</v>
          </cell>
          <cell r="L41">
            <v>2.8327599516451427E-3</v>
          </cell>
          <cell r="M41">
            <v>1.7966184905365927E-3</v>
          </cell>
          <cell r="N41">
            <v>-5.3564387897371158E-3</v>
          </cell>
          <cell r="Q41">
            <v>-9.1563926002495816E-4</v>
          </cell>
        </row>
        <row r="43">
          <cell r="E43" t="str">
            <v>1월</v>
          </cell>
          <cell r="F43" t="str">
            <v>2월</v>
          </cell>
          <cell r="G43" t="str">
            <v>3월</v>
          </cell>
          <cell r="H43" t="str">
            <v>4월</v>
          </cell>
          <cell r="I43" t="str">
            <v>5월</v>
          </cell>
          <cell r="J43" t="str">
            <v>6월</v>
          </cell>
          <cell r="K43" t="str">
            <v>7월</v>
          </cell>
          <cell r="L43" t="str">
            <v>8월</v>
          </cell>
          <cell r="M43" t="str">
            <v>9월</v>
          </cell>
          <cell r="N43" t="str">
            <v>10월</v>
          </cell>
          <cell r="O43" t="str">
            <v>11월</v>
          </cell>
          <cell r="P43" t="str">
            <v>12월</v>
          </cell>
          <cell r="Q43" t="str">
            <v>합계</v>
          </cell>
        </row>
        <row r="44">
          <cell r="E44">
            <v>756420.01123690419</v>
          </cell>
          <cell r="F44">
            <v>744684.72993482568</v>
          </cell>
          <cell r="G44">
            <v>736140.83983969816</v>
          </cell>
          <cell r="H44">
            <v>800210.93236806407</v>
          </cell>
          <cell r="I44">
            <v>798001.52569848381</v>
          </cell>
          <cell r="J44">
            <v>779915.72567572771</v>
          </cell>
          <cell r="K44">
            <v>794077.93162643479</v>
          </cell>
          <cell r="L44">
            <v>765881.71758050087</v>
          </cell>
          <cell r="M44">
            <v>791593.63411319733</v>
          </cell>
          <cell r="N44">
            <v>809127.48025390261</v>
          </cell>
          <cell r="Q44">
            <v>774185.34456025378</v>
          </cell>
          <cell r="S44">
            <v>64070.092528365902</v>
          </cell>
        </row>
        <row r="45">
          <cell r="E45">
            <v>856289.61953188269</v>
          </cell>
          <cell r="F45">
            <v>851146.6444163894</v>
          </cell>
          <cell r="G45">
            <v>795242.75796703238</v>
          </cell>
          <cell r="H45">
            <v>912244.67987843941</v>
          </cell>
          <cell r="I45">
            <v>977459.63909352734</v>
          </cell>
          <cell r="J45">
            <v>1047952.8774608148</v>
          </cell>
          <cell r="K45">
            <v>943069.21176448558</v>
          </cell>
          <cell r="L45">
            <v>940764.5263237136</v>
          </cell>
          <cell r="M45">
            <v>957993.30077587778</v>
          </cell>
          <cell r="N45">
            <v>1040290.391772726</v>
          </cell>
          <cell r="Q45">
            <v>915585.4516870298</v>
          </cell>
        </row>
        <row r="46">
          <cell r="E46">
            <v>839586.45902662503</v>
          </cell>
          <cell r="F46">
            <v>835756.57921730459</v>
          </cell>
          <cell r="G46">
            <v>792905.31575351278</v>
          </cell>
          <cell r="H46">
            <v>897164.77060393314</v>
          </cell>
          <cell r="I46">
            <v>959549.18603088858</v>
          </cell>
          <cell r="J46">
            <v>1021955.1962822818</v>
          </cell>
          <cell r="K46">
            <v>928120.98226638709</v>
          </cell>
          <cell r="L46">
            <v>919151.16536206997</v>
          </cell>
          <cell r="M46">
            <v>934866.21428629861</v>
          </cell>
          <cell r="N46">
            <v>1020734.8350318731</v>
          </cell>
          <cell r="Q46">
            <v>899892.78901809966</v>
          </cell>
        </row>
        <row r="47">
          <cell r="E47">
            <v>16703.160505257663</v>
          </cell>
          <cell r="F47">
            <v>15390.065199084813</v>
          </cell>
          <cell r="G47">
            <v>2337.4422135195928</v>
          </cell>
          <cell r="H47">
            <v>15079.909274506266</v>
          </cell>
          <cell r="I47">
            <v>17910.453062638757</v>
          </cell>
          <cell r="J47">
            <v>25997.681178533006</v>
          </cell>
          <cell r="K47">
            <v>14948.229498098488</v>
          </cell>
          <cell r="L47">
            <v>21613.36096164363</v>
          </cell>
          <cell r="M47">
            <v>23127.086489579175</v>
          </cell>
          <cell r="N47">
            <v>19555.556740852888</v>
          </cell>
        </row>
        <row r="48">
          <cell r="E48">
            <v>0.88336935773018566</v>
          </cell>
          <cell r="F48">
            <v>0.87491942172366532</v>
          </cell>
          <cell r="G48">
            <v>0.92568065847160552</v>
          </cell>
          <cell r="H48">
            <v>0.87718892750867627</v>
          </cell>
          <cell r="I48">
            <v>0.8164035565074903</v>
          </cell>
          <cell r="J48">
            <v>0.74422785837991123</v>
          </cell>
          <cell r="K48">
            <v>0.84201447965914644</v>
          </cell>
          <cell r="L48">
            <v>0.81410565146773373</v>
          </cell>
          <cell r="M48">
            <v>0.82630393497750609</v>
          </cell>
          <cell r="N48">
            <v>0.7777900158003902</v>
          </cell>
          <cell r="Q48">
            <v>0.84556317832897354</v>
          </cell>
        </row>
        <row r="49">
          <cell r="E49">
            <v>0.11663064226981433</v>
          </cell>
          <cell r="F49">
            <v>0.12508057827633468</v>
          </cell>
          <cell r="G49">
            <v>7.431934152839445E-2</v>
          </cell>
          <cell r="H49">
            <v>0.12281107249132373</v>
          </cell>
          <cell r="I49">
            <v>0.18359644349250967</v>
          </cell>
          <cell r="J49">
            <v>0.25577214162008877</v>
          </cell>
          <cell r="K49">
            <v>0.1579855203408535</v>
          </cell>
          <cell r="L49">
            <v>0.18589434853226625</v>
          </cell>
          <cell r="M49">
            <v>0.17369606502249388</v>
          </cell>
          <cell r="N49">
            <v>0.22220998419960983</v>
          </cell>
          <cell r="Q49">
            <v>0.15443682167102646</v>
          </cell>
        </row>
        <row r="50">
          <cell r="E50">
            <v>1.7727214453804725E-2</v>
          </cell>
          <cell r="F50">
            <v>1.5585145342365754E-2</v>
          </cell>
          <cell r="G50">
            <v>1.4844907762880278E-3</v>
          </cell>
          <cell r="H50">
            <v>1.4249312193258659E-2</v>
          </cell>
          <cell r="I50">
            <v>1.6605663837480539E-2</v>
          </cell>
          <cell r="J50">
            <v>2.5690430727950502E-2</v>
          </cell>
          <cell r="K50">
            <v>1.3537465010160435E-2</v>
          </cell>
          <cell r="L50">
            <v>2.2615170311533105E-2</v>
          </cell>
          <cell r="M50">
            <v>2.4112163211421126E-2</v>
          </cell>
          <cell r="N50">
            <v>1.5942637755550233E-2</v>
          </cell>
          <cell r="Q50">
            <v>1.5297649037712108E-2</v>
          </cell>
        </row>
        <row r="51">
          <cell r="E51">
            <v>3.2982413820855441E-2</v>
          </cell>
          <cell r="F51">
            <v>3.5543653965244372E-2</v>
          </cell>
          <cell r="G51">
            <v>2.1059349106859863E-2</v>
          </cell>
          <cell r="H51">
            <v>3.2824519044090679E-2</v>
          </cell>
          <cell r="I51">
            <v>2.5962091637713302E-2</v>
          </cell>
          <cell r="J51">
            <v>2.2240611850707564E-2</v>
          </cell>
          <cell r="K51">
            <v>2.8179013425986693E-2</v>
          </cell>
          <cell r="L51">
            <v>2.4546812296310623E-2</v>
          </cell>
          <cell r="M51">
            <v>2.4279204807000229E-2</v>
          </cell>
          <cell r="N51">
            <v>2.879324534101085E-2</v>
          </cell>
          <cell r="Q51">
            <v>2.7223791098376044E-2</v>
          </cell>
        </row>
        <row r="52">
          <cell r="E52">
            <v>1.9506438153937915E-2</v>
          </cell>
          <cell r="F52">
            <v>1.8081567142448622E-2</v>
          </cell>
          <cell r="G52">
            <v>2.9392813579277332E-3</v>
          </cell>
          <cell r="H52">
            <v>1.6530553268357524E-2</v>
          </cell>
          <cell r="I52">
            <v>1.8323470705397721E-2</v>
          </cell>
          <cell r="J52">
            <v>2.4808063165516665E-2</v>
          </cell>
          <cell r="K52">
            <v>1.5850617655230544E-2</v>
          </cell>
          <cell r="L52">
            <v>2.2974251639890895E-2</v>
          </cell>
          <cell r="M52">
            <v>2.4141177679268294E-2</v>
          </cell>
          <cell r="N52">
            <v>1.8798171064070824E-2</v>
          </cell>
          <cell r="Q52">
            <v>1.7139484512358059E-2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8">
          <cell r="G8">
            <v>6655.6190000000006</v>
          </cell>
        </row>
        <row r="9">
          <cell r="G9">
            <v>5385244.2309999997</v>
          </cell>
          <cell r="J9">
            <v>1538532.2659999998</v>
          </cell>
        </row>
        <row r="10">
          <cell r="F10">
            <v>872727.27272727271</v>
          </cell>
          <cell r="G10">
            <v>809127.48025390261</v>
          </cell>
        </row>
        <row r="11">
          <cell r="G11">
            <v>5299389.233</v>
          </cell>
          <cell r="J11">
            <v>1494232.9290000005</v>
          </cell>
        </row>
        <row r="15">
          <cell r="F15">
            <v>2.3989583333333335E-2</v>
          </cell>
          <cell r="G15">
            <v>1.5942637755550233E-2</v>
          </cell>
        </row>
        <row r="19">
          <cell r="M19">
            <v>96977.164000000004</v>
          </cell>
        </row>
        <row r="37">
          <cell r="M37">
            <v>69224.561999999991</v>
          </cell>
        </row>
        <row r="40">
          <cell r="M40">
            <v>1039.394</v>
          </cell>
        </row>
        <row r="41">
          <cell r="M41">
            <v>-37086.785000000964</v>
          </cell>
        </row>
      </sheetData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6425.0929999999998</v>
          </cell>
          <cell r="F3">
            <v>6645.402</v>
          </cell>
          <cell r="G3">
            <v>8665.0679999999993</v>
          </cell>
          <cell r="H3">
            <v>8574.9830000000002</v>
          </cell>
          <cell r="I3">
            <v>9787.4410000000007</v>
          </cell>
          <cell r="J3">
            <v>7982.0609999999997</v>
          </cell>
          <cell r="K3">
            <v>12986.909999999998</v>
          </cell>
          <cell r="L3">
            <v>9545.7580000000016</v>
          </cell>
          <cell r="M3">
            <v>7354.6280000000006</v>
          </cell>
          <cell r="N3">
            <v>8972.0079999999998</v>
          </cell>
          <cell r="O3">
            <v>10221.802</v>
          </cell>
          <cell r="P3">
            <v>8003.0569999999998</v>
          </cell>
          <cell r="Q3">
            <v>105164.211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E5">
            <v>6425.0929999999998</v>
          </cell>
          <cell r="F5">
            <v>6645.402</v>
          </cell>
          <cell r="G5">
            <v>8665.0679999999993</v>
          </cell>
          <cell r="H5">
            <v>8574.9830000000002</v>
          </cell>
          <cell r="I5">
            <v>9787.4410000000007</v>
          </cell>
          <cell r="J5">
            <v>7982.0609999999997</v>
          </cell>
          <cell r="K5">
            <v>12986.909999999998</v>
          </cell>
          <cell r="L5">
            <v>9545.7580000000016</v>
          </cell>
          <cell r="M5">
            <v>7354.6280000000006</v>
          </cell>
          <cell r="N5">
            <v>8972.0079999999998</v>
          </cell>
          <cell r="O5">
            <v>10221.802</v>
          </cell>
          <cell r="P5">
            <v>8003.0569999999998</v>
          </cell>
          <cell r="Q5">
            <v>105164.211</v>
          </cell>
        </row>
        <row r="6">
          <cell r="E6">
            <v>5915781.3609999996</v>
          </cell>
          <cell r="F6">
            <v>5888695.9620000003</v>
          </cell>
          <cell r="G6">
            <v>7569201.3870000001</v>
          </cell>
          <cell r="H6">
            <v>7314828.4340000004</v>
          </cell>
          <cell r="I6">
            <v>7941424.9759999998</v>
          </cell>
          <cell r="J6">
            <v>6266498.0020000003</v>
          </cell>
          <cell r="K6">
            <v>9753808.4920000006</v>
          </cell>
          <cell r="L6">
            <v>8075849.9460000005</v>
          </cell>
          <cell r="M6">
            <v>6468928.017</v>
          </cell>
          <cell r="N6">
            <v>7347594.3459999999</v>
          </cell>
          <cell r="O6">
            <v>8165213.1710000001</v>
          </cell>
          <cell r="P6">
            <v>6020203.7470000004</v>
          </cell>
          <cell r="Q6">
            <v>86728027.841000006</v>
          </cell>
        </row>
        <row r="7">
          <cell r="E7">
            <v>1492175.8060000008</v>
          </cell>
          <cell r="F7">
            <v>876962.01299999934</v>
          </cell>
          <cell r="G7">
            <v>1190716.3990000002</v>
          </cell>
          <cell r="H7">
            <v>1507211.0580000002</v>
          </cell>
          <cell r="I7">
            <v>1833395.909</v>
          </cell>
          <cell r="J7">
            <v>1606846.7759999996</v>
          </cell>
          <cell r="K7">
            <v>1560840.1609999985</v>
          </cell>
          <cell r="L7">
            <v>1417328.5140000004</v>
          </cell>
          <cell r="M7">
            <v>1251897.8439999996</v>
          </cell>
          <cell r="N7">
            <v>1331090.9230000013</v>
          </cell>
          <cell r="O7">
            <v>1777655.8499999996</v>
          </cell>
          <cell r="P7">
            <v>1425697.8589999992</v>
          </cell>
          <cell r="Q7">
            <v>17271819.111999996</v>
          </cell>
        </row>
        <row r="8">
          <cell r="E8">
            <v>7407957.1670000004</v>
          </cell>
          <cell r="F8">
            <v>6765657.9749999996</v>
          </cell>
          <cell r="G8">
            <v>8759917.7860000003</v>
          </cell>
          <cell r="H8">
            <v>8822039.4920000006</v>
          </cell>
          <cell r="I8">
            <v>9774820.8849999998</v>
          </cell>
          <cell r="J8">
            <v>7873344.7779999999</v>
          </cell>
          <cell r="K8">
            <v>11314648.652999999</v>
          </cell>
          <cell r="L8">
            <v>9493178.4600000009</v>
          </cell>
          <cell r="M8">
            <v>7720825.8609999996</v>
          </cell>
          <cell r="N8">
            <v>8678685.2690000013</v>
          </cell>
          <cell r="O8">
            <v>9942869.0209999997</v>
          </cell>
          <cell r="P8">
            <v>7445901.6059999997</v>
          </cell>
          <cell r="Q8">
            <v>103999846.95300001</v>
          </cell>
        </row>
        <row r="9">
          <cell r="E9">
            <v>5751185.5190000003</v>
          </cell>
          <cell r="F9">
            <v>5728934.7309999997</v>
          </cell>
          <cell r="G9">
            <v>7426923.1069999998</v>
          </cell>
          <cell r="H9">
            <v>7182086.8200000003</v>
          </cell>
          <cell r="I9">
            <v>7737494.4589999998</v>
          </cell>
          <cell r="J9">
            <v>6034261.7359999996</v>
          </cell>
          <cell r="K9">
            <v>9672982.2740000002</v>
          </cell>
          <cell r="L9">
            <v>7922980.0959999999</v>
          </cell>
          <cell r="M9">
            <v>6357038.1430000002</v>
          </cell>
          <cell r="N9">
            <v>7174616.267</v>
          </cell>
          <cell r="O9">
            <v>7971479.4730000002</v>
          </cell>
          <cell r="P9">
            <v>5934990.8200000003</v>
          </cell>
          <cell r="Q9">
            <v>84894973.444999993</v>
          </cell>
        </row>
        <row r="10">
          <cell r="E10">
            <v>1459339.4409999996</v>
          </cell>
          <cell r="F10">
            <v>863642.56600000057</v>
          </cell>
          <cell r="G10">
            <v>1169699.1210000003</v>
          </cell>
          <cell r="H10">
            <v>1476998.9679999985</v>
          </cell>
          <cell r="I10">
            <v>1782403.8720000004</v>
          </cell>
          <cell r="J10">
            <v>1558085.8430000003</v>
          </cell>
          <cell r="K10">
            <v>1520030.682</v>
          </cell>
          <cell r="L10">
            <v>1369739.6770000001</v>
          </cell>
          <cell r="M10">
            <v>1218157.1009999998</v>
          </cell>
          <cell r="N10">
            <v>1293553.2259999989</v>
          </cell>
          <cell r="O10">
            <v>1721296.0080000004</v>
          </cell>
          <cell r="P10">
            <v>1375066.2340000002</v>
          </cell>
          <cell r="Q10">
            <v>16808012.739000004</v>
          </cell>
        </row>
        <row r="11">
          <cell r="E11">
            <v>7210524.96</v>
          </cell>
          <cell r="F11">
            <v>6592577.2970000003</v>
          </cell>
          <cell r="G11">
            <v>8596622.2280000001</v>
          </cell>
          <cell r="H11">
            <v>8659085.7879999988</v>
          </cell>
          <cell r="I11">
            <v>9519898.3310000002</v>
          </cell>
          <cell r="J11">
            <v>7592347.5789999999</v>
          </cell>
          <cell r="K11">
            <v>11193012.956</v>
          </cell>
          <cell r="L11">
            <v>9292719.773</v>
          </cell>
          <cell r="M11">
            <v>7575195.2439999999</v>
          </cell>
          <cell r="N11">
            <v>8468169.4929999989</v>
          </cell>
          <cell r="O11">
            <v>9692775.4810000006</v>
          </cell>
          <cell r="P11">
            <v>7310057.0540000005</v>
          </cell>
          <cell r="Q11">
            <v>101702986.184</v>
          </cell>
          <cell r="S11"/>
        </row>
        <row r="12">
          <cell r="E12">
            <v>164595.84199999925</v>
          </cell>
          <cell r="F12">
            <v>159761.23100000061</v>
          </cell>
          <cell r="G12">
            <v>142278.28000000026</v>
          </cell>
          <cell r="H12">
            <v>132741.61400000006</v>
          </cell>
          <cell r="I12">
            <v>203930.51699999999</v>
          </cell>
          <cell r="J12">
            <v>232236.26600000076</v>
          </cell>
          <cell r="K12">
            <v>80826.218000000343</v>
          </cell>
          <cell r="L12">
            <v>152869.85000000056</v>
          </cell>
          <cell r="M12">
            <v>111889.87399999984</v>
          </cell>
          <cell r="N12">
            <v>172978.07899999991</v>
          </cell>
          <cell r="O12">
            <v>193733.69799999986</v>
          </cell>
          <cell r="P12">
            <v>85212.927000000142</v>
          </cell>
          <cell r="Q12">
            <v>1833054.3960000128</v>
          </cell>
        </row>
        <row r="13">
          <cell r="E13">
            <v>32836.365000001155</v>
          </cell>
          <cell r="F13">
            <v>13319.446999998763</v>
          </cell>
          <cell r="G13">
            <v>21017.277999999933</v>
          </cell>
          <cell r="H13">
            <v>30212.090000001714</v>
          </cell>
          <cell r="I13">
            <v>50992.036999999546</v>
          </cell>
          <cell r="J13">
            <v>48760.932999999262</v>
          </cell>
          <cell r="K13">
            <v>40809.47899999842</v>
          </cell>
          <cell r="L13">
            <v>47588.837000000291</v>
          </cell>
          <cell r="M13">
            <v>33740.742999999784</v>
          </cell>
          <cell r="N13">
            <v>37537.697000002488</v>
          </cell>
          <cell r="O13">
            <v>56359.841999999247</v>
          </cell>
          <cell r="P13">
            <v>50631.624999999069</v>
          </cell>
          <cell r="Q13">
            <v>463806.37299999222</v>
          </cell>
        </row>
        <row r="14">
          <cell r="E14">
            <v>197432.2070000004</v>
          </cell>
          <cell r="F14">
            <v>173080.67799999937</v>
          </cell>
          <cell r="G14">
            <v>163295.55800000019</v>
          </cell>
          <cell r="H14">
            <v>162953.70400000177</v>
          </cell>
          <cell r="I14">
            <v>254922.55399999954</v>
          </cell>
          <cell r="J14">
            <v>280997.19900000002</v>
          </cell>
          <cell r="K14">
            <v>121635.69699999876</v>
          </cell>
          <cell r="L14">
            <v>200458.68700000085</v>
          </cell>
          <cell r="M14">
            <v>145630.61699999962</v>
          </cell>
          <cell r="N14">
            <v>210515.7760000024</v>
          </cell>
          <cell r="O14">
            <v>250093.53999999911</v>
          </cell>
          <cell r="P14">
            <v>135844.55199999921</v>
          </cell>
          <cell r="Q14">
            <v>2296860.7690000087</v>
          </cell>
        </row>
        <row r="15">
          <cell r="E15">
            <v>66207.56</v>
          </cell>
          <cell r="F15">
            <v>66285.86</v>
          </cell>
          <cell r="G15">
            <v>65749.929999999993</v>
          </cell>
          <cell r="H15">
            <v>67760.67</v>
          </cell>
          <cell r="I15">
            <v>67398.19</v>
          </cell>
          <cell r="J15">
            <v>68315.210000000006</v>
          </cell>
          <cell r="K15">
            <v>66812.929999999993</v>
          </cell>
          <cell r="L15">
            <v>62651.65</v>
          </cell>
          <cell r="M15">
            <v>77308.009999999995</v>
          </cell>
          <cell r="N15">
            <v>73134.44</v>
          </cell>
          <cell r="O15">
            <v>67295.789999999994</v>
          </cell>
          <cell r="P15">
            <v>71052.55</v>
          </cell>
          <cell r="Q15">
            <v>819972.79</v>
          </cell>
          <cell r="S15"/>
        </row>
        <row r="16">
          <cell r="E16">
            <v>14873.76</v>
          </cell>
          <cell r="F16">
            <v>14873.76</v>
          </cell>
          <cell r="G16">
            <v>14860.963</v>
          </cell>
          <cell r="H16">
            <v>15208.86</v>
          </cell>
          <cell r="I16">
            <v>15041.31</v>
          </cell>
          <cell r="J16">
            <v>15956.352999999999</v>
          </cell>
          <cell r="K16">
            <v>14780.06</v>
          </cell>
          <cell r="L16">
            <v>14150</v>
          </cell>
          <cell r="M16">
            <v>22703.37</v>
          </cell>
          <cell r="N16">
            <v>14497.14</v>
          </cell>
          <cell r="O16">
            <v>9728.56</v>
          </cell>
          <cell r="P16">
            <v>71669.45</v>
          </cell>
          <cell r="Q16">
            <v>238343.58600000001</v>
          </cell>
          <cell r="S16"/>
        </row>
        <row r="17">
          <cell r="E17">
            <v>7310.9949999999999</v>
          </cell>
          <cell r="F17">
            <v>7310.9949999999999</v>
          </cell>
          <cell r="G17">
            <v>7310.9949999999999</v>
          </cell>
          <cell r="H17">
            <v>7310.9949999999999</v>
          </cell>
          <cell r="I17">
            <v>7310.9949999999999</v>
          </cell>
          <cell r="J17">
            <v>7310.9949999999999</v>
          </cell>
          <cell r="K17">
            <v>7415.38</v>
          </cell>
          <cell r="L17">
            <v>6838.2650000000003</v>
          </cell>
          <cell r="M17">
            <v>6838.2650000000003</v>
          </cell>
          <cell r="N17">
            <v>6838.2650000000003</v>
          </cell>
          <cell r="O17">
            <v>6838.2650000000003</v>
          </cell>
          <cell r="P17">
            <v>6838.2790000000005</v>
          </cell>
          <cell r="Q17">
            <v>85472.688999999998</v>
          </cell>
          <cell r="S17"/>
        </row>
        <row r="18">
          <cell r="E18">
            <v>88392.314999999988</v>
          </cell>
          <cell r="F18">
            <v>88470.614999999991</v>
          </cell>
          <cell r="G18">
            <v>87921.887999999992</v>
          </cell>
          <cell r="H18">
            <v>90280.524999999994</v>
          </cell>
          <cell r="I18">
            <v>89750.494999999995</v>
          </cell>
          <cell r="J18">
            <v>91582.558000000005</v>
          </cell>
          <cell r="K18">
            <v>89008.37</v>
          </cell>
          <cell r="L18">
            <v>83639.914999999994</v>
          </cell>
          <cell r="M18">
            <v>106849.64499999999</v>
          </cell>
          <cell r="N18">
            <v>94469.845000000001</v>
          </cell>
          <cell r="O18">
            <v>83862.614999999991</v>
          </cell>
          <cell r="P18">
            <v>149560.27900000001</v>
          </cell>
          <cell r="Q18">
            <v>1143789.0650000002</v>
          </cell>
          <cell r="S18"/>
        </row>
        <row r="19">
          <cell r="E19">
            <v>10121.891</v>
          </cell>
          <cell r="F19">
            <v>9805.2829999999994</v>
          </cell>
          <cell r="G19">
            <v>17707.691999999999</v>
          </cell>
          <cell r="H19">
            <v>11119.776</v>
          </cell>
          <cell r="I19">
            <v>11156.752</v>
          </cell>
          <cell r="J19">
            <v>13198.425999999999</v>
          </cell>
          <cell r="K19">
            <v>11393.108</v>
          </cell>
          <cell r="L19">
            <v>9677.1869999999999</v>
          </cell>
          <cell r="M19">
            <v>21372.597000000002</v>
          </cell>
          <cell r="N19">
            <v>9967.1309999999994</v>
          </cell>
          <cell r="O19">
            <v>9827.2720000000008</v>
          </cell>
          <cell r="P19">
            <v>21182.594000000001</v>
          </cell>
          <cell r="Q19">
            <v>156529.709</v>
          </cell>
          <cell r="S19"/>
        </row>
        <row r="20">
          <cell r="E20">
            <v>1311.06</v>
          </cell>
          <cell r="F20">
            <v>1355.9369999999999</v>
          </cell>
          <cell r="G20">
            <v>1375.4739999999999</v>
          </cell>
          <cell r="H20">
            <v>1243.2840000000001</v>
          </cell>
          <cell r="I20">
            <v>2969.5909999999999</v>
          </cell>
          <cell r="J20">
            <v>2547.7719999999999</v>
          </cell>
          <cell r="K20">
            <v>2306.7460000000001</v>
          </cell>
          <cell r="L20">
            <v>1941.2639999999999</v>
          </cell>
          <cell r="M20">
            <v>1798.2249999999999</v>
          </cell>
          <cell r="N20">
            <v>3033.0569999999998</v>
          </cell>
          <cell r="O20">
            <v>2527.3249999999998</v>
          </cell>
          <cell r="P20">
            <v>2481.9169999999999</v>
          </cell>
          <cell r="Q20">
            <v>24891.651999999998</v>
          </cell>
          <cell r="S20"/>
        </row>
        <row r="21">
          <cell r="E21">
            <v>2954.1509999999998</v>
          </cell>
          <cell r="F21">
            <v>2198.643</v>
          </cell>
          <cell r="G21">
            <v>2313.0590000000002</v>
          </cell>
          <cell r="H21">
            <v>9080.5509999999995</v>
          </cell>
          <cell r="I21">
            <v>3170.076</v>
          </cell>
          <cell r="J21">
            <v>2624.902</v>
          </cell>
          <cell r="K21">
            <v>2077.42</v>
          </cell>
          <cell r="L21">
            <v>1457.1</v>
          </cell>
          <cell r="M21">
            <v>2705.88</v>
          </cell>
          <cell r="N21">
            <v>2355.4499999999998</v>
          </cell>
          <cell r="O21">
            <v>2520.4</v>
          </cell>
          <cell r="P21">
            <v>3080.36</v>
          </cell>
          <cell r="Q21">
            <v>36537.991999999998</v>
          </cell>
          <cell r="S21"/>
        </row>
        <row r="22">
          <cell r="E22">
            <v>800</v>
          </cell>
          <cell r="F22">
            <v>450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50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1300</v>
          </cell>
          <cell r="S22"/>
        </row>
        <row r="23">
          <cell r="E23">
            <v>1555.0309999999999</v>
          </cell>
          <cell r="F23">
            <v>1525.067</v>
          </cell>
          <cell r="G23">
            <v>1632.8409999999999</v>
          </cell>
          <cell r="H23">
            <v>1763.1579999999999</v>
          </cell>
          <cell r="I23">
            <v>1704.309</v>
          </cell>
          <cell r="J23">
            <v>1633.1469999999999</v>
          </cell>
          <cell r="K23">
            <v>1480.127</v>
          </cell>
          <cell r="L23">
            <v>1614.203</v>
          </cell>
          <cell r="M23">
            <v>1493.895</v>
          </cell>
          <cell r="N23">
            <v>1516.5070000000001</v>
          </cell>
          <cell r="O23">
            <v>1503.94</v>
          </cell>
          <cell r="P23">
            <v>1640.039</v>
          </cell>
          <cell r="Q23">
            <v>19062.263999999999</v>
          </cell>
          <cell r="S23"/>
        </row>
        <row r="24">
          <cell r="E24">
            <v>289.08999999999997</v>
          </cell>
          <cell r="F24">
            <v>255.51</v>
          </cell>
          <cell r="G24">
            <v>165.68</v>
          </cell>
          <cell r="H24">
            <v>362.03</v>
          </cell>
          <cell r="I24">
            <v>547.33000000000004</v>
          </cell>
          <cell r="J24">
            <v>423.26499999999999</v>
          </cell>
          <cell r="K24">
            <v>760.52200000000005</v>
          </cell>
          <cell r="L24">
            <v>554.88</v>
          </cell>
          <cell r="M24">
            <v>326.77999999999997</v>
          </cell>
          <cell r="N24">
            <v>516.30999999999995</v>
          </cell>
          <cell r="O24">
            <v>534.13</v>
          </cell>
          <cell r="P24">
            <v>699.96900000000005</v>
          </cell>
          <cell r="Q24">
            <v>5435.4959999999992</v>
          </cell>
          <cell r="S24"/>
        </row>
        <row r="25">
          <cell r="E25">
            <v>175.22900000000001</v>
          </cell>
          <cell r="F25">
            <v>286.774</v>
          </cell>
          <cell r="G25">
            <v>182.274</v>
          </cell>
          <cell r="H25">
            <v>391.274</v>
          </cell>
          <cell r="I25">
            <v>338.63900000000001</v>
          </cell>
          <cell r="J25">
            <v>194.54499999999999</v>
          </cell>
          <cell r="K25">
            <v>205.7</v>
          </cell>
          <cell r="L25">
            <v>200.34700000000001</v>
          </cell>
          <cell r="M25">
            <v>282.43700000000001</v>
          </cell>
          <cell r="N25">
            <v>282.43700000000001</v>
          </cell>
          <cell r="O25">
            <v>282.43700000000001</v>
          </cell>
          <cell r="P25">
            <v>282.43700000000001</v>
          </cell>
          <cell r="Q25">
            <v>3104.5299999999997</v>
          </cell>
          <cell r="S25"/>
        </row>
        <row r="26">
          <cell r="E26">
            <v>3221.82</v>
          </cell>
          <cell r="F26">
            <v>3221.82</v>
          </cell>
          <cell r="G26">
            <v>3221.82</v>
          </cell>
          <cell r="H26">
            <v>3221.82</v>
          </cell>
          <cell r="I26">
            <v>3221.82</v>
          </cell>
          <cell r="J26">
            <v>3221.82</v>
          </cell>
          <cell r="K26">
            <v>3457.45</v>
          </cell>
          <cell r="L26">
            <v>3226.92</v>
          </cell>
          <cell r="M26">
            <v>3226.92</v>
          </cell>
          <cell r="N26">
            <v>3226.92</v>
          </cell>
          <cell r="O26">
            <v>3226.92</v>
          </cell>
          <cell r="P26">
            <v>3226.92</v>
          </cell>
          <cell r="Q26">
            <v>38922.969999999994</v>
          </cell>
          <cell r="S26"/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/>
        </row>
        <row r="28">
          <cell r="E28">
            <v>1050.8399999999999</v>
          </cell>
          <cell r="F28">
            <v>138.52000000000001</v>
          </cell>
          <cell r="G28">
            <v>94.89</v>
          </cell>
          <cell r="H28">
            <v>32284.75</v>
          </cell>
          <cell r="I28">
            <v>257.06</v>
          </cell>
          <cell r="J28">
            <v>49.77</v>
          </cell>
          <cell r="K28">
            <v>31660.799999999999</v>
          </cell>
          <cell r="L28">
            <v>242.3</v>
          </cell>
          <cell r="M28">
            <v>0</v>
          </cell>
          <cell r="N28">
            <v>30591.91</v>
          </cell>
          <cell r="O28">
            <v>12216.17</v>
          </cell>
          <cell r="P28">
            <v>38318.07</v>
          </cell>
          <cell r="Q28">
            <v>146905.07999999999</v>
          </cell>
          <cell r="S28"/>
        </row>
        <row r="29">
          <cell r="E29">
            <v>62.219000000000001</v>
          </cell>
          <cell r="F29">
            <v>64.25</v>
          </cell>
          <cell r="G29">
            <v>106</v>
          </cell>
          <cell r="H29">
            <v>189.15</v>
          </cell>
          <cell r="I29">
            <v>261.8</v>
          </cell>
          <cell r="J29">
            <v>73.650000000000006</v>
          </cell>
          <cell r="K29">
            <v>147.93</v>
          </cell>
          <cell r="L29">
            <v>168.34</v>
          </cell>
          <cell r="M29">
            <v>25</v>
          </cell>
          <cell r="N29">
            <v>123.74</v>
          </cell>
          <cell r="O29">
            <v>282.8</v>
          </cell>
          <cell r="P29">
            <v>582.35</v>
          </cell>
          <cell r="Q29">
            <v>2087.2289999999998</v>
          </cell>
          <cell r="S29"/>
        </row>
        <row r="30">
          <cell r="E30">
            <v>6297.65</v>
          </cell>
          <cell r="F30">
            <v>5545.7610000000004</v>
          </cell>
          <cell r="G30">
            <v>5779.4780000000001</v>
          </cell>
          <cell r="H30">
            <v>6166.1530000000002</v>
          </cell>
          <cell r="I30">
            <v>5995.0280000000002</v>
          </cell>
          <cell r="J30">
            <v>6034.0290000000005</v>
          </cell>
          <cell r="K30">
            <v>6286.6790000000001</v>
          </cell>
          <cell r="L30">
            <v>6745.6779999999999</v>
          </cell>
          <cell r="M30">
            <v>5998.9290000000001</v>
          </cell>
          <cell r="N30">
            <v>5750.1629999999996</v>
          </cell>
          <cell r="O30">
            <v>5490.6790000000001</v>
          </cell>
          <cell r="P30">
            <v>5741.4690000000001</v>
          </cell>
          <cell r="Q30">
            <v>71831.696000000011</v>
          </cell>
          <cell r="S30"/>
        </row>
        <row r="31">
          <cell r="E31">
            <v>7875.04</v>
          </cell>
          <cell r="F31">
            <v>12385.5</v>
          </cell>
          <cell r="G31">
            <v>5449.3</v>
          </cell>
          <cell r="H31">
            <v>6952</v>
          </cell>
          <cell r="I31">
            <v>7672.69</v>
          </cell>
          <cell r="J31">
            <v>3665</v>
          </cell>
          <cell r="K31">
            <v>7483.3159999999998</v>
          </cell>
          <cell r="L31">
            <v>5718.53</v>
          </cell>
          <cell r="M31">
            <v>11262.32</v>
          </cell>
          <cell r="N31">
            <v>9509.7000000000007</v>
          </cell>
          <cell r="O31">
            <v>5406.44</v>
          </cell>
          <cell r="P31">
            <v>4611.5429999999997</v>
          </cell>
          <cell r="Q31">
            <v>87991.379000000001</v>
          </cell>
          <cell r="S31"/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/>
        </row>
        <row r="33">
          <cell r="E33">
            <v>-6631.1459999999997</v>
          </cell>
          <cell r="F33">
            <v>-18.065999999999999</v>
          </cell>
          <cell r="G33">
            <v>139.43100000000001</v>
          </cell>
          <cell r="H33">
            <v>531.52599999999995</v>
          </cell>
          <cell r="I33">
            <v>-41.448</v>
          </cell>
          <cell r="J33">
            <v>28.1</v>
          </cell>
          <cell r="K33">
            <v>-663.24</v>
          </cell>
          <cell r="L33">
            <v>196.892</v>
          </cell>
          <cell r="M33">
            <v>391.423</v>
          </cell>
          <cell r="N33">
            <v>-268.49200000000002</v>
          </cell>
          <cell r="O33">
            <v>-1380.02</v>
          </cell>
          <cell r="P33">
            <v>114.742</v>
          </cell>
          <cell r="Q33">
            <v>-7600.2980000000007</v>
          </cell>
          <cell r="S33"/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/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S35"/>
        </row>
        <row r="36">
          <cell r="E36">
            <v>29082.875</v>
          </cell>
          <cell r="F36">
            <v>37214.999000000003</v>
          </cell>
          <cell r="G36">
            <v>38167.938999999998</v>
          </cell>
          <cell r="H36">
            <v>73305.471999999994</v>
          </cell>
          <cell r="I36">
            <v>37253.647000000012</v>
          </cell>
          <cell r="J36">
            <v>33694.425999999999</v>
          </cell>
          <cell r="K36">
            <v>66646.558000000005</v>
          </cell>
          <cell r="L36">
            <v>31743.640999999996</v>
          </cell>
          <cell r="M36">
            <v>48884.406000000003</v>
          </cell>
          <cell r="N36">
            <v>66604.833000000013</v>
          </cell>
          <cell r="O36">
            <v>42438.493000000009</v>
          </cell>
          <cell r="P36">
            <v>81962.410000000018</v>
          </cell>
          <cell r="Q36">
            <v>586999.69900000002</v>
          </cell>
          <cell r="S36"/>
        </row>
        <row r="37">
          <cell r="E37">
            <v>117475.18999999999</v>
          </cell>
          <cell r="F37">
            <v>125685.614</v>
          </cell>
          <cell r="G37">
            <v>126089.82699999999</v>
          </cell>
          <cell r="H37">
            <v>163585.99699999997</v>
          </cell>
          <cell r="I37">
            <v>127004.14200000001</v>
          </cell>
          <cell r="J37">
            <v>125276.984</v>
          </cell>
          <cell r="K37">
            <v>155654.92800000001</v>
          </cell>
          <cell r="L37">
            <v>115383.55599999998</v>
          </cell>
          <cell r="M37">
            <v>155734.05099999998</v>
          </cell>
          <cell r="N37">
            <v>161074.67800000001</v>
          </cell>
          <cell r="O37">
            <v>126301.10800000001</v>
          </cell>
          <cell r="P37">
            <v>231522.68900000001</v>
          </cell>
          <cell r="Q37">
            <v>1730788.7640000002</v>
          </cell>
          <cell r="S37"/>
        </row>
        <row r="38">
          <cell r="E38">
            <v>79957.017000000415</v>
          </cell>
          <cell r="F38">
            <v>47395.063999999373</v>
          </cell>
          <cell r="G38">
            <v>37205.731000000203</v>
          </cell>
          <cell r="H38">
            <v>-632.29299999820068</v>
          </cell>
          <cell r="I38">
            <v>127918.41199999953</v>
          </cell>
          <cell r="J38">
            <v>155720.21500000003</v>
          </cell>
          <cell r="K38">
            <v>-34019.231000001251</v>
          </cell>
          <cell r="L38">
            <v>85075.131000000867</v>
          </cell>
          <cell r="M38">
            <v>-10103.434000000358</v>
          </cell>
          <cell r="N38">
            <v>49441.098000002385</v>
          </cell>
          <cell r="O38">
            <v>123792.4319999991</v>
          </cell>
          <cell r="P38">
            <v>-95678.137000000803</v>
          </cell>
          <cell r="Q38">
            <v>566072.0050000085</v>
          </cell>
          <cell r="S38"/>
        </row>
        <row r="39">
          <cell r="E39">
            <v>4689.8059999999996</v>
          </cell>
          <cell r="F39">
            <v>5550.3850000000002</v>
          </cell>
          <cell r="G39">
            <v>5550.3850000000002</v>
          </cell>
          <cell r="H39">
            <v>5550.375</v>
          </cell>
          <cell r="I39">
            <v>5550.3850000000002</v>
          </cell>
          <cell r="J39">
            <v>5550.375</v>
          </cell>
          <cell r="K39">
            <v>5550.3850000000002</v>
          </cell>
          <cell r="L39">
            <v>5550.3779999999997</v>
          </cell>
          <cell r="M39">
            <v>5475.768</v>
          </cell>
          <cell r="N39">
            <v>5435.7690000000002</v>
          </cell>
          <cell r="O39">
            <v>5435.7830000000004</v>
          </cell>
          <cell r="P39">
            <v>5423.9359999999997</v>
          </cell>
          <cell r="Q39">
            <v>65313.73</v>
          </cell>
          <cell r="S39"/>
        </row>
        <row r="40">
          <cell r="E40">
            <v>75267.211000000418</v>
          </cell>
          <cell r="F40">
            <v>41844.678999999371</v>
          </cell>
          <cell r="G40">
            <v>31655.346000000201</v>
          </cell>
          <cell r="H40">
            <v>-6182.6679999982007</v>
          </cell>
          <cell r="I40">
            <v>122368.02699999954</v>
          </cell>
          <cell r="J40">
            <v>150169.84000000003</v>
          </cell>
          <cell r="K40">
            <v>-39569.616000001253</v>
          </cell>
          <cell r="L40">
            <v>79524.75300000087</v>
          </cell>
          <cell r="M40">
            <v>-15579.202000000358</v>
          </cell>
          <cell r="N40">
            <v>44005.329000002384</v>
          </cell>
          <cell r="O40">
            <v>118356.6489999991</v>
          </cell>
          <cell r="P40">
            <v>-101102.0730000008</v>
          </cell>
          <cell r="Q40">
            <v>500758.27500000852</v>
          </cell>
          <cell r="S40"/>
        </row>
        <row r="41">
          <cell r="E41">
            <v>1.0160319411036954E-2</v>
          </cell>
          <cell r="F41">
            <v>6.1848646731213711E-3</v>
          </cell>
          <cell r="G41">
            <v>3.6136578873595606E-3</v>
          </cell>
          <cell r="H41">
            <v>-7.0082071221793621E-4</v>
          </cell>
          <cell r="I41">
            <v>1.2518697625219916E-2</v>
          </cell>
          <cell r="J41">
            <v>1.9073194967863E-2</v>
          </cell>
          <cell r="K41">
            <v>-3.4972023624887062E-3</v>
          </cell>
          <cell r="L41">
            <v>8.3770418237772027E-3</v>
          </cell>
          <cell r="M41">
            <v>-2.0178154876792603E-3</v>
          </cell>
          <cell r="N41">
            <v>5.0705063769495217E-3</v>
          </cell>
          <cell r="O41">
            <v>1.19036717420316E-2</v>
          </cell>
          <cell r="P41">
            <v>-1.3578217702814055E-2</v>
          </cell>
          <cell r="Q41">
            <v>4.8149904992294172E-3</v>
          </cell>
        </row>
        <row r="42">
          <cell r="E42" t="str">
            <v>1월</v>
          </cell>
          <cell r="F42" t="str">
            <v>2월</v>
          </cell>
          <cell r="G42" t="str">
            <v>3월</v>
          </cell>
          <cell r="H42" t="str">
            <v>4월</v>
          </cell>
          <cell r="I42" t="str">
            <v>5월</v>
          </cell>
          <cell r="J42" t="str">
            <v>6월</v>
          </cell>
          <cell r="K42" t="str">
            <v>7월</v>
          </cell>
          <cell r="L42" t="str">
            <v>8월</v>
          </cell>
          <cell r="M42" t="str">
            <v>9월</v>
          </cell>
          <cell r="N42" t="str">
            <v>10월</v>
          </cell>
          <cell r="O42" t="str">
            <v>11월</v>
          </cell>
          <cell r="P42" t="str">
            <v>12월</v>
          </cell>
          <cell r="Q42" t="str">
            <v>합계</v>
          </cell>
        </row>
        <row r="43">
          <cell r="E43">
            <v>920730.85338998202</v>
          </cell>
          <cell r="F43">
            <v>886130.8859870329</v>
          </cell>
          <cell r="G43">
            <v>873530.5235919673</v>
          </cell>
          <cell r="H43">
            <v>853042.90795678552</v>
          </cell>
          <cell r="I43">
            <v>811389.30758305453</v>
          </cell>
          <cell r="J43">
            <v>785072.67759542307</v>
          </cell>
          <cell r="K43">
            <v>751049.2097042331</v>
          </cell>
          <cell r="L43">
            <v>846014.52770958561</v>
          </cell>
          <cell r="M43">
            <v>879572.42936012533</v>
          </cell>
          <cell r="N43">
            <v>818946.47731031897</v>
          </cell>
          <cell r="O43">
            <v>798803.69146262086</v>
          </cell>
          <cell r="P43">
            <v>752238.01942182856</v>
          </cell>
          <cell r="Q43">
            <v>824691.47076090367</v>
          </cell>
        </row>
        <row r="44"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</row>
        <row r="46">
          <cell r="E46">
            <v>1152972.7533904957</v>
          </cell>
          <cell r="F46">
            <v>1018096.1174357849</v>
          </cell>
          <cell r="G46">
            <v>1010946.2252344702</v>
          </cell>
          <cell r="H46">
            <v>1028811.309830002</v>
          </cell>
          <cell r="I46">
            <v>998710.58073300251</v>
          </cell>
          <cell r="J46">
            <v>986379.93094765872</v>
          </cell>
          <cell r="K46">
            <v>871234.85517340153</v>
          </cell>
          <cell r="L46">
            <v>994491.84234504995</v>
          </cell>
          <cell r="M46">
            <v>1049791.4865306576</v>
          </cell>
          <cell r="N46">
            <v>967306.90264654264</v>
          </cell>
          <cell r="O46">
            <v>972711.95636542363</v>
          </cell>
          <cell r="P46">
            <v>930382.17846005596</v>
          </cell>
          <cell r="Q46">
            <v>988928.13404932991</v>
          </cell>
          <cell r="R46"/>
          <cell r="S46"/>
          <cell r="T46"/>
        </row>
        <row r="47">
          <cell r="E47">
            <v>1122244.4500025136</v>
          </cell>
          <cell r="F47">
            <v>992050.9394315047</v>
          </cell>
          <cell r="G47">
            <v>992100.95385287225</v>
          </cell>
          <cell r="H47">
            <v>1009807.9247504045</v>
          </cell>
          <cell r="I47">
            <v>972664.69662499102</v>
          </cell>
          <cell r="J47">
            <v>951176.34142359975</v>
          </cell>
          <cell r="K47">
            <v>861868.83223183977</v>
          </cell>
          <cell r="L47">
            <v>973492.07606142946</v>
          </cell>
          <cell r="M47">
            <v>1029990.2651772461</v>
          </cell>
          <cell r="N47">
            <v>943843.28380001429</v>
          </cell>
          <cell r="O47">
            <v>948245.27818089223</v>
          </cell>
          <cell r="P47">
            <v>913408.09568143776</v>
          </cell>
          <cell r="Q47">
            <v>967087.42657708912</v>
          </cell>
          <cell r="R47"/>
          <cell r="S47"/>
          <cell r="T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</row>
        <row r="49">
          <cell r="E49">
            <v>0.79857121573986001</v>
          </cell>
          <cell r="F49">
            <v>0.87038038040934229</v>
          </cell>
          <cell r="G49">
            <v>0.86407219472961383</v>
          </cell>
          <cell r="H49">
            <v>0.82915389810182005</v>
          </cell>
          <cell r="I49">
            <v>0.81243687934850584</v>
          </cell>
          <cell r="J49">
            <v>0.79591306854871746</v>
          </cell>
          <cell r="K49">
            <v>0.86205138057149011</v>
          </cell>
          <cell r="L49">
            <v>0.85070031918477174</v>
          </cell>
          <cell r="M49">
            <v>0.83785441265763061</v>
          </cell>
          <cell r="N49">
            <v>0.8466252800116375</v>
          </cell>
          <cell r="O49">
            <v>0.82121298729315728</v>
          </cell>
          <cell r="P49">
            <v>0.80852582609322232</v>
          </cell>
          <cell r="Q49">
            <v>0.833924571833211</v>
          </cell>
          <cell r="R49"/>
          <cell r="S49"/>
          <cell r="T49"/>
        </row>
        <row r="50">
          <cell r="E50">
            <v>0.20142878426013996</v>
          </cell>
          <cell r="F50">
            <v>0.12961961959065768</v>
          </cell>
          <cell r="G50">
            <v>0.13592780527038614</v>
          </cell>
          <cell r="H50">
            <v>0.17084610189818</v>
          </cell>
          <cell r="I50">
            <v>0.18756312065149416</v>
          </cell>
          <cell r="J50">
            <v>0.20408693145128257</v>
          </cell>
          <cell r="K50">
            <v>0.13794861942850986</v>
          </cell>
          <cell r="L50">
            <v>0.14929968081522826</v>
          </cell>
          <cell r="M50">
            <v>0.16214558734236936</v>
          </cell>
          <cell r="N50">
            <v>0.15337471998836247</v>
          </cell>
          <cell r="O50">
            <v>0.17878701270684269</v>
          </cell>
          <cell r="P50">
            <v>0.19147417390677768</v>
          </cell>
          <cell r="Q50">
            <v>0.16607542816678894</v>
          </cell>
          <cell r="R50"/>
          <cell r="S50"/>
          <cell r="T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</row>
        <row r="52">
          <cell r="E52">
            <v>2.7823178707229314E-2</v>
          </cell>
          <cell r="F52">
            <v>2.7130154457106714E-2</v>
          </cell>
          <cell r="G52">
            <v>1.8797000201944851E-2</v>
          </cell>
          <cell r="H52">
            <v>1.8146921038230335E-2</v>
          </cell>
          <cell r="I52">
            <v>2.5679335587291203E-2</v>
          </cell>
          <cell r="J52">
            <v>3.7059976070507129E-2</v>
          </cell>
          <cell r="K52">
            <v>8.2866316338170258E-3</v>
          </cell>
          <cell r="L52">
            <v>1.8929258347069412E-2</v>
          </cell>
          <cell r="M52">
            <v>1.7296509360740942E-2</v>
          </cell>
          <cell r="N52">
            <v>2.3542137855523892E-2</v>
          </cell>
          <cell r="O52">
            <v>2.3726716491380119E-2</v>
          </cell>
          <cell r="P52">
            <v>1.4154492203434744E-2</v>
          </cell>
          <cell r="Q52">
            <v>2.1135663310142175E-2</v>
          </cell>
          <cell r="R52"/>
          <cell r="S52"/>
          <cell r="T52"/>
        </row>
        <row r="53">
          <cell r="E53">
            <v>2.2005694548837322E-2</v>
          </cell>
          <cell r="F53">
            <v>1.5188168703492945E-2</v>
          </cell>
          <cell r="G53">
            <v>1.7650951996336726E-2</v>
          </cell>
          <cell r="H53">
            <v>2.0045029420160815E-2</v>
          </cell>
          <cell r="I53">
            <v>2.7812889049050205E-2</v>
          </cell>
          <cell r="J53">
            <v>3.0345726629506131E-2</v>
          </cell>
          <cell r="K53">
            <v>2.6145841207630523E-2</v>
          </cell>
          <cell r="L53">
            <v>3.3576433783650161E-2</v>
          </cell>
          <cell r="M53">
            <v>2.6951674341249041E-2</v>
          </cell>
          <cell r="N53">
            <v>2.8200700907343241E-2</v>
          </cell>
          <cell r="O53">
            <v>3.1704585564185137E-2</v>
          </cell>
          <cell r="P53">
            <v>3.5513573005933156E-2</v>
          </cell>
          <cell r="Q53">
            <v>2.6853359799128049E-2</v>
          </cell>
          <cell r="R53"/>
          <cell r="S53"/>
          <cell r="T53"/>
        </row>
        <row r="54">
          <cell r="E54">
            <v>2.6651369945751794E-2</v>
          </cell>
          <cell r="F54">
            <v>2.5582238806566245E-2</v>
          </cell>
          <cell r="G54">
            <v>1.8641220384622476E-2</v>
          </cell>
          <cell r="H54">
            <v>1.847120545626342E-2</v>
          </cell>
          <cell r="I54">
            <v>2.607951153265552E-2</v>
          </cell>
          <cell r="J54">
            <v>3.568968550509475E-2</v>
          </cell>
          <cell r="K54">
            <v>1.0750284938609023E-2</v>
          </cell>
          <cell r="L54">
            <v>2.1116076964595568E-2</v>
          </cell>
          <cell r="M54">
            <v>1.8862051757392903E-2</v>
          </cell>
          <cell r="N54">
            <v>2.4256643659144816E-2</v>
          </cell>
          <cell r="O54">
            <v>2.5153055870673239E-2</v>
          </cell>
          <cell r="P54">
            <v>1.8244204555501242E-2</v>
          </cell>
          <cell r="Q54">
            <v>2.2085232202678284E-2</v>
          </cell>
          <cell r="R54"/>
          <cell r="S54"/>
        </row>
        <row r="55">
          <cell r="R55"/>
          <cell r="S55"/>
        </row>
        <row r="56">
          <cell r="R56"/>
          <cell r="S56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G10">
            <v>818946.47731031897</v>
          </cell>
        </row>
      </sheetData>
      <sheetData sheetId="1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손익"/>
      <sheetName val="물량"/>
      <sheetName val="금액"/>
      <sheetName val="제품별제조원가raw"/>
      <sheetName val="수불부raw"/>
      <sheetName val="입고내역raw"/>
      <sheetName val="PFT"/>
      <sheetName val="PFTraw"/>
    </sheetNames>
    <sheetDataSet>
      <sheetData sheetId="0">
        <row r="10">
          <cell r="W10">
            <v>16914.307376994901</v>
          </cell>
          <cell r="X10">
            <v>13214</v>
          </cell>
        </row>
        <row r="14">
          <cell r="W14">
            <v>6000</v>
          </cell>
          <cell r="X14">
            <v>6035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손익"/>
      <sheetName val="금액"/>
      <sheetName val="물량"/>
      <sheetName val="제조원가raw"/>
      <sheetName val="슬러지토사"/>
      <sheetName val="슬러지토사raw"/>
      <sheetName val="PTF손익"/>
      <sheetName val="PFTraw"/>
      <sheetName val="수불부raw"/>
      <sheetName val="입고내역"/>
      <sheetName val="입고내역raw"/>
    </sheetNames>
    <sheetDataSet>
      <sheetData sheetId="0">
        <row r="13">
          <cell r="W13">
            <v>17561.554933333333</v>
          </cell>
          <cell r="X13">
            <v>13988</v>
          </cell>
        </row>
        <row r="15">
          <cell r="W15">
            <v>22000</v>
          </cell>
          <cell r="X15">
            <v>1152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"/>
      <sheetName val="손익"/>
      <sheetName val="제조원가금액"/>
      <sheetName val="제조원가물량"/>
      <sheetName val="제조원가raw"/>
      <sheetName val="PFT손익"/>
      <sheetName val="PFTraw"/>
      <sheetName val="수불부raw"/>
      <sheetName val="입고내역"/>
      <sheetName val="입고내역raw"/>
    </sheetNames>
    <sheetDataSet>
      <sheetData sheetId="0"/>
      <sheetData sheetId="1">
        <row r="10">
          <cell r="F10">
            <v>21741.815053763439</v>
          </cell>
          <cell r="G10">
            <v>16488</v>
          </cell>
        </row>
        <row r="12">
          <cell r="F12">
            <v>24000</v>
          </cell>
          <cell r="G12">
            <v>15712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모래장(당월)"/>
      <sheetName val="서부산크라샤(당월)"/>
      <sheetName val="부산크라샤(당월)"/>
      <sheetName val="부산모래장(누계)"/>
      <sheetName val="서부산크라샤(누계)"/>
      <sheetName val="부산크라샤(누계)"/>
    </sheetNames>
    <sheetDataSet>
      <sheetData sheetId="0">
        <row r="85">
          <cell r="S85">
            <v>38555</v>
          </cell>
        </row>
        <row r="86">
          <cell r="S86">
            <v>21535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5">
          <cell r="O5">
            <v>2316068.8200000003</v>
          </cell>
        </row>
        <row r="85">
          <cell r="Q85">
            <v>100872.33245790855</v>
          </cell>
          <cell r="R85">
            <v>98336.18475181039</v>
          </cell>
        </row>
        <row r="89">
          <cell r="Q89">
            <v>79513.389266735103</v>
          </cell>
          <cell r="R89">
            <v>79851.168286096101</v>
          </cell>
        </row>
      </sheetData>
      <sheetData sheetId="1">
        <row r="5">
          <cell r="U5">
            <v>820727.82000000007</v>
          </cell>
        </row>
        <row r="85">
          <cell r="Q85">
            <v>98063.654720829261</v>
          </cell>
          <cell r="R85">
            <v>95890.166401644354</v>
          </cell>
        </row>
        <row r="89">
          <cell r="Q89">
            <v>80925.735810208047</v>
          </cell>
          <cell r="R89">
            <v>80986.515213079751</v>
          </cell>
        </row>
      </sheetData>
      <sheetData sheetId="2">
        <row r="5">
          <cell r="U5">
            <v>1030964</v>
          </cell>
        </row>
        <row r="85">
          <cell r="Q85">
            <v>100535.76295038484</v>
          </cell>
          <cell r="R85">
            <v>98733.481511272781</v>
          </cell>
        </row>
        <row r="89">
          <cell r="Q89">
            <v>78958.931917698661</v>
          </cell>
          <cell r="R89">
            <v>79208.184373357857</v>
          </cell>
        </row>
      </sheetData>
      <sheetData sheetId="3"/>
      <sheetData sheetId="4">
        <row r="5">
          <cell r="U5">
            <v>467005</v>
          </cell>
        </row>
        <row r="85">
          <cell r="Q85">
            <v>107017.09254712643</v>
          </cell>
          <cell r="R85">
            <v>101741.24873490626</v>
          </cell>
        </row>
        <row r="89">
          <cell r="Q89">
            <v>78078.160625251418</v>
          </cell>
          <cell r="R89">
            <v>79295.4920339167</v>
          </cell>
        </row>
      </sheetData>
      <sheetData sheetId="5">
        <row r="2">
          <cell r="N2">
            <v>378000</v>
          </cell>
        </row>
        <row r="85">
          <cell r="Q85">
            <v>99194.551179894173</v>
          </cell>
          <cell r="R85">
            <v>96395.902615291605</v>
          </cell>
        </row>
        <row r="86">
          <cell r="H86">
            <v>3527040.1015674314</v>
          </cell>
          <cell r="I86">
            <v>2176892.6209999938</v>
          </cell>
        </row>
        <row r="89">
          <cell r="Q89">
            <v>81666.959102101129</v>
          </cell>
          <cell r="R89">
            <v>79845.274899715965</v>
          </cell>
        </row>
        <row r="92">
          <cell r="H92">
            <v>1425541.7918371479</v>
          </cell>
          <cell r="I92">
            <v>130189.58905818989</v>
          </cell>
        </row>
      </sheetData>
      <sheetData sheetId="6">
        <row r="2">
          <cell r="N2">
            <v>276000</v>
          </cell>
        </row>
        <row r="85">
          <cell r="Q85">
            <v>99235.62632937837</v>
          </cell>
          <cell r="R85">
            <v>96874.047413330773</v>
          </cell>
        </row>
        <row r="86">
          <cell r="H86">
            <v>1485509.2152212427</v>
          </cell>
          <cell r="I86">
            <v>144144.25901999517</v>
          </cell>
        </row>
        <row r="89">
          <cell r="Q89">
            <v>82832.695809646335</v>
          </cell>
          <cell r="R89">
            <v>84453.745797674725</v>
          </cell>
        </row>
        <row r="92">
          <cell r="H92">
            <v>-37271.587858310202</v>
          </cell>
          <cell r="I92">
            <v>-1569508.3528905157</v>
          </cell>
        </row>
      </sheetData>
      <sheetData sheetId="7">
        <row r="2">
          <cell r="N2">
            <v>206000</v>
          </cell>
        </row>
        <row r="85">
          <cell r="Q85">
            <v>96551.93778252427</v>
          </cell>
          <cell r="R85">
            <v>92679.473354156653</v>
          </cell>
        </row>
        <row r="86">
          <cell r="H86">
            <v>1015101.6651480494</v>
          </cell>
          <cell r="I86">
            <v>-405522.11199999863</v>
          </cell>
        </row>
        <row r="89">
          <cell r="Q89">
            <v>80218.087621696439</v>
          </cell>
          <cell r="R89">
            <v>78513.761995131485</v>
          </cell>
        </row>
        <row r="92">
          <cell r="H92">
            <v>-89683.152606092859</v>
          </cell>
          <cell r="I92">
            <v>-1187091.126536265</v>
          </cell>
        </row>
      </sheetData>
      <sheetData sheetId="8">
        <row r="2">
          <cell r="N2">
            <v>139000</v>
          </cell>
        </row>
        <row r="85">
          <cell r="Q85">
            <v>94901.573165467635</v>
          </cell>
          <cell r="R85">
            <v>95610.678374303738</v>
          </cell>
        </row>
        <row r="86">
          <cell r="H86">
            <v>855984.66195048066</v>
          </cell>
          <cell r="I86">
            <v>-44558.193000000727</v>
          </cell>
        </row>
        <row r="89">
          <cell r="Q89">
            <v>76172.298131451404</v>
          </cell>
          <cell r="R89">
            <v>78308.79262496352</v>
          </cell>
        </row>
        <row r="92">
          <cell r="H92">
            <v>128060.84394897975</v>
          </cell>
          <cell r="I92">
            <v>-758587.00957847154</v>
          </cell>
        </row>
      </sheetData>
      <sheetData sheetId="9">
        <row r="2">
          <cell r="N2">
            <v>197000</v>
          </cell>
        </row>
        <row r="85">
          <cell r="Q85">
            <v>107699.97719388834</v>
          </cell>
          <cell r="R85">
            <v>107670.52031500418</v>
          </cell>
        </row>
        <row r="86">
          <cell r="H86">
            <v>1796663.5146320674</v>
          </cell>
          <cell r="I86">
            <v>1889375.6590000025</v>
          </cell>
        </row>
        <row r="89">
          <cell r="Q89">
            <v>84834.021757247232</v>
          </cell>
          <cell r="R89">
            <v>84894.169606547526</v>
          </cell>
        </row>
        <row r="92">
          <cell r="H92">
            <v>582717.17633439973</v>
          </cell>
          <cell r="I92">
            <v>456020.28545700968</v>
          </cell>
        </row>
      </sheetData>
      <sheetData sheetId="10">
        <row r="2">
          <cell r="N2">
            <v>194000</v>
          </cell>
        </row>
        <row r="85">
          <cell r="Q85">
            <v>99300.031307113502</v>
          </cell>
          <cell r="R85">
            <v>98049.927583635261</v>
          </cell>
        </row>
        <row r="86">
          <cell r="H86">
            <v>1812344.4437957935</v>
          </cell>
          <cell r="I86">
            <v>1190667.321</v>
          </cell>
        </row>
        <row r="89">
          <cell r="Q89">
            <v>78142.39200633335</v>
          </cell>
          <cell r="R89">
            <v>77714.603401312517</v>
          </cell>
        </row>
        <row r="92">
          <cell r="H92">
            <v>714677.13484709454</v>
          </cell>
          <cell r="I92">
            <v>30725.159890160896</v>
          </cell>
        </row>
      </sheetData>
      <sheetData sheetId="11">
        <row r="2">
          <cell r="N2">
            <v>138000</v>
          </cell>
        </row>
        <row r="85">
          <cell r="Q85">
            <v>96299.873550724631</v>
          </cell>
          <cell r="R85">
            <v>90198.17886218318</v>
          </cell>
        </row>
        <row r="86">
          <cell r="H86">
            <v>1156337.3391480017</v>
          </cell>
          <cell r="I86">
            <v>-347123.07900000043</v>
          </cell>
        </row>
        <row r="89">
          <cell r="Q89">
            <v>76758.586514225419</v>
          </cell>
          <cell r="R89">
            <v>76947.92636585336</v>
          </cell>
        </row>
        <row r="92">
          <cell r="H92">
            <v>392152.13971908623</v>
          </cell>
          <cell r="I92">
            <v>-922493.73406157724</v>
          </cell>
        </row>
      </sheetData>
      <sheetData sheetId="12">
        <row r="2">
          <cell r="N2">
            <v>188000</v>
          </cell>
        </row>
        <row r="85">
          <cell r="Q85">
            <v>101999.94317446811</v>
          </cell>
          <cell r="R85">
            <v>99608.788259465815</v>
          </cell>
        </row>
        <row r="86">
          <cell r="H86">
            <v>1561282.5495431393</v>
          </cell>
          <cell r="I86">
            <v>1707680.5010000055</v>
          </cell>
        </row>
        <row r="89">
          <cell r="Q89">
            <v>82198.378884936028</v>
          </cell>
          <cell r="R89">
            <v>81866.523691662325</v>
          </cell>
        </row>
        <row r="92">
          <cell r="H92">
            <v>456928.16810661368</v>
          </cell>
          <cell r="I92">
            <v>288986.11229361384</v>
          </cell>
        </row>
      </sheetData>
      <sheetData sheetId="13">
        <row r="2">
          <cell r="N2">
            <v>114000</v>
          </cell>
        </row>
        <row r="85">
          <cell r="Q85">
            <v>94520.600877192977</v>
          </cell>
          <cell r="R85">
            <v>92504.84990319176</v>
          </cell>
        </row>
        <row r="86">
          <cell r="H86">
            <v>915478.10271420865</v>
          </cell>
          <cell r="I86">
            <v>-109576.79299999938</v>
          </cell>
        </row>
        <row r="89">
          <cell r="Q89">
            <v>73776.621024924098</v>
          </cell>
          <cell r="R89">
            <v>73491.801915573946</v>
          </cell>
        </row>
        <row r="92">
          <cell r="H92">
            <v>297551.5272867576</v>
          </cell>
          <cell r="I92">
            <v>-526256.95616333175</v>
          </cell>
        </row>
      </sheetData>
      <sheetData sheetId="14">
        <row r="2">
          <cell r="N2">
            <v>122000</v>
          </cell>
        </row>
        <row r="85">
          <cell r="Q85">
            <v>100631.4237127869</v>
          </cell>
          <cell r="R85">
            <v>95313.024247500754</v>
          </cell>
        </row>
        <row r="86">
          <cell r="H86">
            <v>1103629.2768490317</v>
          </cell>
          <cell r="I86">
            <v>236569.87500000146</v>
          </cell>
        </row>
        <row r="89">
          <cell r="Q89">
            <v>76028.359533775452</v>
          </cell>
          <cell r="R89">
            <v>73070.291318202086</v>
          </cell>
        </row>
        <row r="92">
          <cell r="H92">
            <v>410494.95517213573</v>
          </cell>
          <cell r="I92">
            <v>-386379.51815485768</v>
          </cell>
        </row>
      </sheetData>
      <sheetData sheetId="15">
        <row r="2">
          <cell r="N2">
            <v>121000</v>
          </cell>
        </row>
        <row r="85">
          <cell r="Q85">
            <v>97067.177196267032</v>
          </cell>
          <cell r="R85">
            <v>88642.422403341654</v>
          </cell>
        </row>
        <row r="86">
          <cell r="H86">
            <v>1077980.1242107742</v>
          </cell>
          <cell r="I86">
            <v>24142.328999999183</v>
          </cell>
        </row>
        <row r="89">
          <cell r="Q89">
            <v>73096.539275073897</v>
          </cell>
          <cell r="R89">
            <v>72897.058340957621</v>
          </cell>
        </row>
        <row r="92">
          <cell r="H92">
            <v>404553.14197976585</v>
          </cell>
          <cell r="I92">
            <v>-510941.79892803729</v>
          </cell>
        </row>
      </sheetData>
      <sheetData sheetId="16">
        <row r="2">
          <cell r="N2">
            <v>119500</v>
          </cell>
        </row>
        <row r="85">
          <cell r="Q85">
            <v>102472.37656903766</v>
          </cell>
          <cell r="R85">
            <v>104403.79475174764</v>
          </cell>
        </row>
        <row r="86">
          <cell r="H86">
            <v>947245.72623057151</v>
          </cell>
          <cell r="I86">
            <v>916165.63899999927</v>
          </cell>
        </row>
        <row r="89">
          <cell r="Q89">
            <v>81915.504826694538</v>
          </cell>
          <cell r="R89">
            <v>82371.71905541567</v>
          </cell>
        </row>
        <row r="92">
          <cell r="H92">
            <v>252605.68484894</v>
          </cell>
          <cell r="I92">
            <v>262913.31286157388</v>
          </cell>
        </row>
      </sheetData>
      <sheetData sheetId="17">
        <row r="2">
          <cell r="N2">
            <v>219000</v>
          </cell>
        </row>
        <row r="85">
          <cell r="Q85">
            <v>103000</v>
          </cell>
          <cell r="R85">
            <v>96281.155876183999</v>
          </cell>
        </row>
        <row r="86">
          <cell r="H86">
            <v>2864577.5880586202</v>
          </cell>
          <cell r="I86">
            <v>844405.73200000322</v>
          </cell>
        </row>
        <row r="89">
          <cell r="Q89">
            <v>78390.842508824746</v>
          </cell>
          <cell r="R89">
            <v>80723.026897508258</v>
          </cell>
        </row>
        <row r="92">
          <cell r="H92">
            <v>1660374.6801041972</v>
          </cell>
          <cell r="I92">
            <v>-479642.77841369249</v>
          </cell>
        </row>
      </sheetData>
      <sheetData sheetId="18">
        <row r="2">
          <cell r="N2">
            <v>107000</v>
          </cell>
        </row>
        <row r="85">
          <cell r="Q85">
            <v>98575.914267289714</v>
          </cell>
          <cell r="R85">
            <v>97269.221108492857</v>
          </cell>
        </row>
        <row r="86">
          <cell r="H86">
            <v>1175206.9090833119</v>
          </cell>
          <cell r="I86">
            <v>1225834.9309999989</v>
          </cell>
        </row>
        <row r="89">
          <cell r="Q89">
            <v>73168.868356853796</v>
          </cell>
          <cell r="R89">
            <v>75569.005414817162</v>
          </cell>
        </row>
        <row r="92">
          <cell r="H92">
            <v>611876.73174589197</v>
          </cell>
          <cell r="I92">
            <v>472533.65747693658</v>
          </cell>
        </row>
      </sheetData>
      <sheetData sheetId="19">
        <row r="2">
          <cell r="N2">
            <v>70000</v>
          </cell>
        </row>
        <row r="85">
          <cell r="Q85">
            <v>110978.04261428573</v>
          </cell>
          <cell r="R85">
            <v>109828.4700874367</v>
          </cell>
        </row>
        <row r="86">
          <cell r="H86">
            <v>1839877.5434962504</v>
          </cell>
          <cell r="I86">
            <v>952388.56099999824</v>
          </cell>
        </row>
        <row r="89">
          <cell r="Q89">
            <v>72621.816183386909</v>
          </cell>
          <cell r="R89">
            <v>72426.846544800472</v>
          </cell>
        </row>
        <row r="92">
          <cell r="H92">
            <v>1427398.4610314404</v>
          </cell>
          <cell r="I92">
            <v>631656.55419479567</v>
          </cell>
        </row>
      </sheetData>
      <sheetData sheetId="20">
        <row r="2">
          <cell r="N2">
            <v>45000</v>
          </cell>
        </row>
        <row r="85">
          <cell r="Q85">
            <v>112000</v>
          </cell>
          <cell r="R85">
            <v>109109.61569258265</v>
          </cell>
        </row>
        <row r="86">
          <cell r="H86">
            <v>802959.39672164456</v>
          </cell>
          <cell r="I86">
            <v>168266.28799999991</v>
          </cell>
        </row>
        <row r="89">
          <cell r="Q89">
            <v>73300.52217974326</v>
          </cell>
          <cell r="R89">
            <v>71526.439285075961</v>
          </cell>
        </row>
        <row r="92">
          <cell r="H92">
            <v>533670.48180096177</v>
          </cell>
          <cell r="I92">
            <v>-85856.573932076368</v>
          </cell>
        </row>
      </sheetData>
      <sheetData sheetId="21">
        <row r="2">
          <cell r="N2">
            <v>81000</v>
          </cell>
        </row>
        <row r="85">
          <cell r="Q85">
            <v>122837.48765432098</v>
          </cell>
          <cell r="R85">
            <v>123136.80411228527</v>
          </cell>
        </row>
        <row r="86">
          <cell r="H86">
            <v>1593158.7088490189</v>
          </cell>
          <cell r="I86">
            <v>622579.20200000226</v>
          </cell>
        </row>
        <row r="89">
          <cell r="Q89">
            <v>91087.478911601604</v>
          </cell>
          <cell r="R89">
            <v>93131.595817817259</v>
          </cell>
        </row>
        <row r="92">
          <cell r="H92">
            <v>1052192.3045279707</v>
          </cell>
          <cell r="I92">
            <v>219722.76778530132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100644.43346398899</v>
          </cell>
        </row>
        <row r="89">
          <cell r="Q89">
            <v>78814.918034747985</v>
          </cell>
        </row>
      </sheetData>
      <sheetData sheetId="1">
        <row r="85">
          <cell r="Q85">
            <v>98493.09848149601</v>
          </cell>
        </row>
        <row r="89">
          <cell r="Q89">
            <v>80768.41748770143</v>
          </cell>
        </row>
      </sheetData>
      <sheetData sheetId="2">
        <row r="85">
          <cell r="Q85">
            <v>100612.36251198559</v>
          </cell>
        </row>
        <row r="89">
          <cell r="Q89">
            <v>78551.337188436839</v>
          </cell>
        </row>
      </sheetData>
      <sheetData sheetId="3"/>
      <sheetData sheetId="4"/>
      <sheetData sheetId="5">
        <row r="85">
          <cell r="Q85">
            <v>104789.04081212259</v>
          </cell>
        </row>
        <row r="89">
          <cell r="Q89">
            <v>75774.714353729374</v>
          </cell>
        </row>
      </sheetData>
      <sheetData sheetId="6">
        <row r="85">
          <cell r="Q85">
            <v>99119.962067949979</v>
          </cell>
        </row>
        <row r="86">
          <cell r="H86">
            <v>3495151.1919999835</v>
          </cell>
        </row>
        <row r="89">
          <cell r="Q89">
            <v>81575.39945770007</v>
          </cell>
        </row>
        <row r="92">
          <cell r="H92">
            <v>1667072.4793563355</v>
          </cell>
        </row>
      </sheetData>
      <sheetData sheetId="7">
        <row r="85">
          <cell r="Q85">
            <v>99641.374010630694</v>
          </cell>
        </row>
        <row r="86">
          <cell r="H86">
            <v>1662361.6650100015</v>
          </cell>
        </row>
        <row r="89">
          <cell r="Q89">
            <v>82366.896822904993</v>
          </cell>
        </row>
        <row r="92">
          <cell r="H92">
            <v>345223.82528781798</v>
          </cell>
        </row>
      </sheetData>
      <sheetData sheetId="8">
        <row r="85">
          <cell r="Q85">
            <v>96666.953368455972</v>
          </cell>
        </row>
        <row r="86">
          <cell r="H86">
            <v>1693968.6640000008</v>
          </cell>
        </row>
        <row r="89">
          <cell r="Q89">
            <v>80272.138118544943</v>
          </cell>
        </row>
        <row r="92">
          <cell r="H92">
            <v>511360.47542387433</v>
          </cell>
        </row>
      </sheetData>
      <sheetData sheetId="9">
        <row r="85">
          <cell r="Q85">
            <v>97610.856292393801</v>
          </cell>
        </row>
        <row r="86">
          <cell r="H86">
            <v>935799.26200000034</v>
          </cell>
        </row>
        <row r="89">
          <cell r="Q89">
            <v>75418.587197998728</v>
          </cell>
        </row>
        <row r="92">
          <cell r="H92">
            <v>400272.38153737108</v>
          </cell>
        </row>
      </sheetData>
      <sheetData sheetId="10">
        <row r="85">
          <cell r="Q85">
            <v>107704.25137077457</v>
          </cell>
        </row>
        <row r="86">
          <cell r="H86">
            <v>2050905.5080000006</v>
          </cell>
        </row>
        <row r="89">
          <cell r="Q89">
            <v>83958.150600023713</v>
          </cell>
        </row>
        <row r="92">
          <cell r="H92">
            <v>990127.35292864311</v>
          </cell>
        </row>
      </sheetData>
      <sheetData sheetId="11">
        <row r="85">
          <cell r="Q85">
            <v>100551.51680250299</v>
          </cell>
        </row>
        <row r="86">
          <cell r="H86">
            <v>2290604.0859999992</v>
          </cell>
        </row>
        <row r="89">
          <cell r="Q89">
            <v>78733.007216251877</v>
          </cell>
        </row>
        <row r="92">
          <cell r="H92">
            <v>1237022.5426534652</v>
          </cell>
        </row>
      </sheetData>
      <sheetData sheetId="12">
        <row r="85">
          <cell r="Q85">
            <v>95232.380110062877</v>
          </cell>
        </row>
        <row r="86">
          <cell r="H86">
            <v>720055.65799999912</v>
          </cell>
        </row>
        <row r="89">
          <cell r="Q89">
            <v>78745.257671957661</v>
          </cell>
        </row>
        <row r="92">
          <cell r="H92">
            <v>80018.337446483318</v>
          </cell>
        </row>
      </sheetData>
      <sheetData sheetId="13">
        <row r="85">
          <cell r="Q85">
            <v>101005.2212313536</v>
          </cell>
        </row>
        <row r="86">
          <cell r="H86">
            <v>1743018.5790000011</v>
          </cell>
        </row>
        <row r="89">
          <cell r="Q89">
            <v>81770.401864067055</v>
          </cell>
        </row>
        <row r="92">
          <cell r="H92">
            <v>744509.83414482162</v>
          </cell>
        </row>
      </sheetData>
      <sheetData sheetId="14">
        <row r="85">
          <cell r="Q85">
            <v>92736.9338932346</v>
          </cell>
        </row>
        <row r="86">
          <cell r="H86">
            <v>1086154.9300000016</v>
          </cell>
        </row>
        <row r="89">
          <cell r="Q89">
            <v>72990.590046963174</v>
          </cell>
        </row>
        <row r="92">
          <cell r="H92">
            <v>495492.4066862904</v>
          </cell>
        </row>
      </sheetData>
      <sheetData sheetId="15">
        <row r="85">
          <cell r="Q85">
            <v>100743.43200536774</v>
          </cell>
        </row>
        <row r="86">
          <cell r="H86">
            <v>2438770.0530000022</v>
          </cell>
        </row>
        <row r="89">
          <cell r="Q89">
            <v>74908.31970491122</v>
          </cell>
        </row>
        <row r="92">
          <cell r="H92">
            <v>1562049.1268095749</v>
          </cell>
        </row>
      </sheetData>
      <sheetData sheetId="16">
        <row r="85">
          <cell r="Q85">
            <v>100092.59959071867</v>
          </cell>
        </row>
        <row r="86">
          <cell r="H86">
            <v>2216703.8510000003</v>
          </cell>
        </row>
        <row r="89">
          <cell r="Q89">
            <v>74637.952341555399</v>
          </cell>
        </row>
        <row r="92">
          <cell r="H92">
            <v>1431635.9891836243</v>
          </cell>
        </row>
      </sheetData>
      <sheetData sheetId="17">
        <row r="85">
          <cell r="Q85">
            <v>103410.8706308493</v>
          </cell>
        </row>
        <row r="86">
          <cell r="H86">
            <v>1238189.8330000003</v>
          </cell>
        </row>
        <row r="89">
          <cell r="Q89">
            <v>80071.378177975814</v>
          </cell>
        </row>
        <row r="92">
          <cell r="H92">
            <v>657343.78523254627</v>
          </cell>
        </row>
      </sheetData>
      <sheetData sheetId="18">
        <row r="85">
          <cell r="Q85">
            <v>100725.63408039347</v>
          </cell>
        </row>
        <row r="86">
          <cell r="H86">
            <v>3882666.9789999928</v>
          </cell>
        </row>
        <row r="89">
          <cell r="Q89">
            <v>76735.5377352285</v>
          </cell>
        </row>
        <row r="92">
          <cell r="H92">
            <v>2600303.4897820479</v>
          </cell>
        </row>
      </sheetData>
      <sheetData sheetId="19">
        <row r="85">
          <cell r="Q85">
            <v>112123.11157039581</v>
          </cell>
        </row>
        <row r="86">
          <cell r="H86">
            <v>1233011.0899999994</v>
          </cell>
        </row>
        <row r="89">
          <cell r="Q89">
            <v>73820.926222174516</v>
          </cell>
        </row>
        <row r="92">
          <cell r="H92">
            <v>934598.52850390947</v>
          </cell>
        </row>
      </sheetData>
      <sheetData sheetId="20">
        <row r="85">
          <cell r="Q85">
            <v>113207.38480075337</v>
          </cell>
        </row>
        <row r="86">
          <cell r="H86">
            <v>2690622.6990000033</v>
          </cell>
        </row>
        <row r="89">
          <cell r="Q89">
            <v>72302.133567271987</v>
          </cell>
        </row>
        <row r="92">
          <cell r="H92">
            <v>2223726.6106250598</v>
          </cell>
        </row>
      </sheetData>
      <sheetData sheetId="21">
        <row r="85">
          <cell r="Q85">
            <v>96216.462650092813</v>
          </cell>
        </row>
        <row r="86">
          <cell r="H86">
            <v>565117.20100000023</v>
          </cell>
        </row>
        <row r="89">
          <cell r="Q89">
            <v>72048.068991028238</v>
          </cell>
        </row>
        <row r="92">
          <cell r="H92">
            <v>182059.96613765764</v>
          </cell>
        </row>
      </sheetData>
      <sheetData sheetId="22">
        <row r="85">
          <cell r="Q85">
            <v>124493.79464143398</v>
          </cell>
        </row>
        <row r="86">
          <cell r="H86">
            <v>330035.48599999992</v>
          </cell>
        </row>
        <row r="89">
          <cell r="Q89">
            <v>89288.003928705541</v>
          </cell>
        </row>
        <row r="92">
          <cell r="H92">
            <v>121902.44101205334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"/>
      <sheetName val="판매계획"/>
      <sheetName val="매입계획"/>
      <sheetName val="비율"/>
      <sheetName val="판매4"/>
      <sheetName val="판매6"/>
      <sheetName val="인별예산"/>
      <sheetName val="계정통제"/>
      <sheetName val="본사산출"/>
    </sheetNames>
    <sheetDataSet>
      <sheetData sheetId="0">
        <row r="5">
          <cell r="E5"/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금액</v>
          </cell>
          <cell r="T5" t="str">
            <v>단위당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9800</v>
          </cell>
          <cell r="H6">
            <v>10200</v>
          </cell>
          <cell r="I6">
            <v>10200</v>
          </cell>
          <cell r="J6">
            <v>11100</v>
          </cell>
          <cell r="K6">
            <v>10700</v>
          </cell>
          <cell r="L6">
            <v>10200</v>
          </cell>
          <cell r="M6">
            <v>13500</v>
          </cell>
          <cell r="N6">
            <v>12600</v>
          </cell>
          <cell r="O6">
            <v>12600</v>
          </cell>
          <cell r="P6">
            <v>11000</v>
          </cell>
          <cell r="Q6">
            <v>12600</v>
          </cell>
          <cell r="R6">
            <v>13100</v>
          </cell>
          <cell r="S6">
            <v>137600</v>
          </cell>
          <cell r="T6"/>
          <cell r="U6"/>
          <cell r="V6">
            <v>20000</v>
          </cell>
          <cell r="W6">
            <v>30200</v>
          </cell>
          <cell r="X6">
            <v>41300</v>
          </cell>
          <cell r="Y6">
            <v>52000</v>
          </cell>
          <cell r="Z6">
            <v>62200</v>
          </cell>
          <cell r="AA6">
            <v>75700</v>
          </cell>
          <cell r="AB6">
            <v>88300</v>
          </cell>
          <cell r="AC6">
            <v>100900</v>
          </cell>
          <cell r="AD6">
            <v>111900</v>
          </cell>
          <cell r="AE6">
            <v>124500</v>
          </cell>
          <cell r="AF6">
            <v>137600</v>
          </cell>
        </row>
        <row r="7">
          <cell r="G7">
            <v>10731322.812054796</v>
          </cell>
          <cell r="H7">
            <v>11165945.543013699</v>
          </cell>
          <cell r="I7">
            <v>11165945.543013699</v>
          </cell>
          <cell r="J7">
            <v>12145191.004931508</v>
          </cell>
          <cell r="K7">
            <v>11710568.273972601</v>
          </cell>
          <cell r="L7">
            <v>11165945.543013699</v>
          </cell>
          <cell r="M7">
            <v>14694152.390399996</v>
          </cell>
          <cell r="N7">
            <v>13712918.880000001</v>
          </cell>
          <cell r="O7">
            <v>13712918.880000001</v>
          </cell>
          <cell r="P7">
            <v>11978568.614399999</v>
          </cell>
          <cell r="Q7">
            <v>13712918.880000001</v>
          </cell>
          <cell r="R7">
            <v>14246035.635199999</v>
          </cell>
          <cell r="S7">
            <v>150142431.99999997</v>
          </cell>
          <cell r="T7">
            <v>1091151.3953488369</v>
          </cell>
          <cell r="U7"/>
          <cell r="V7">
            <v>21897268.355068497</v>
          </cell>
          <cell r="W7">
            <v>33063213.898082197</v>
          </cell>
          <cell r="X7">
            <v>45208404.903013706</v>
          </cell>
          <cell r="Y7">
            <v>56918973.176986307</v>
          </cell>
          <cell r="Z7">
            <v>68084918.719999999</v>
          </cell>
          <cell r="AA7">
            <v>82779071.110399991</v>
          </cell>
          <cell r="AB7">
            <v>96491989.990399987</v>
          </cell>
          <cell r="AC7">
            <v>110204908.87039998</v>
          </cell>
          <cell r="AD7">
            <v>122183477.48479998</v>
          </cell>
          <cell r="AE7">
            <v>135896396.36479998</v>
          </cell>
          <cell r="AF7">
            <v>150142431.99999997</v>
          </cell>
        </row>
        <row r="8">
          <cell r="G8">
            <v>1095032.9400055914</v>
          </cell>
          <cell r="H8">
            <v>1094700.5434327156</v>
          </cell>
          <cell r="I8">
            <v>1094700.5434327156</v>
          </cell>
          <cell r="J8">
            <v>1094161.3517956315</v>
          </cell>
          <cell r="K8">
            <v>1094445.6330815514</v>
          </cell>
          <cell r="L8">
            <v>1094700.5434327156</v>
          </cell>
          <cell r="M8">
            <v>1088455.7326222218</v>
          </cell>
          <cell r="N8">
            <v>1088326.8952380954</v>
          </cell>
          <cell r="O8">
            <v>1088326.8952380954</v>
          </cell>
          <cell r="P8">
            <v>1088960.7831272727</v>
          </cell>
          <cell r="Q8">
            <v>1088326.8952380954</v>
          </cell>
          <cell r="R8">
            <v>1087483.6362748093</v>
          </cell>
          <cell r="S8">
            <v>13097622.392919512</v>
          </cell>
          <cell r="T8">
            <v>95186.209250868545</v>
          </cell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</row>
        <row r="9">
          <cell r="G9">
            <v>10441182.304265575</v>
          </cell>
          <cell r="H9">
            <v>10864468.817494512</v>
          </cell>
          <cell r="I9">
            <v>10864468.817494512</v>
          </cell>
          <cell r="J9">
            <v>11817136.843952389</v>
          </cell>
          <cell r="K9">
            <v>11393850.330723453</v>
          </cell>
          <cell r="L9">
            <v>10864468.817494512</v>
          </cell>
          <cell r="M9">
            <v>14298333.470727189</v>
          </cell>
          <cell r="N9">
            <v>13342736.269191843</v>
          </cell>
          <cell r="O9">
            <v>13342736.269191843</v>
          </cell>
          <cell r="P9">
            <v>11655606.716888821</v>
          </cell>
          <cell r="Q9">
            <v>13342736.269191843</v>
          </cell>
          <cell r="R9">
            <v>13862078.619959515</v>
          </cell>
          <cell r="S9">
            <v>146089803.54657599</v>
          </cell>
          <cell r="T9">
            <v>1061699.1536815118</v>
          </cell>
          <cell r="U9"/>
          <cell r="V9">
            <v>21305651.121760085</v>
          </cell>
          <cell r="W9">
            <v>32170119.939254597</v>
          </cell>
          <cell r="X9">
            <v>43987256.783206984</v>
          </cell>
          <cell r="Y9">
            <v>55381107.113930434</v>
          </cell>
          <cell r="Z9">
            <v>66245575.931424946</v>
          </cell>
          <cell r="AA9">
            <v>80543909.402152136</v>
          </cell>
          <cell r="AB9">
            <v>93886645.671343982</v>
          </cell>
          <cell r="AC9">
            <v>107229381.94053583</v>
          </cell>
          <cell r="AD9">
            <v>118884988.65742464</v>
          </cell>
          <cell r="AE9">
            <v>132227724.92661649</v>
          </cell>
          <cell r="AF9">
            <v>146089803.54657599</v>
          </cell>
        </row>
        <row r="10">
          <cell r="G10">
            <v>1065426.7657413853</v>
          </cell>
          <cell r="H10">
            <v>1065144.0017151483</v>
          </cell>
          <cell r="I10">
            <v>1065144.0017151483</v>
          </cell>
          <cell r="J10">
            <v>1064606.9228785937</v>
          </cell>
          <cell r="K10">
            <v>1064845.8253012572</v>
          </cell>
          <cell r="L10">
            <v>1065144.0017151483</v>
          </cell>
          <cell r="M10">
            <v>1059135.8126464584</v>
          </cell>
          <cell r="N10">
            <v>1058947.3229517334</v>
          </cell>
          <cell r="O10">
            <v>1058947.3229517334</v>
          </cell>
          <cell r="P10">
            <v>1059600.6106262563</v>
          </cell>
          <cell r="Q10">
            <v>1058947.3229517334</v>
          </cell>
          <cell r="R10">
            <v>1058173.9404549249</v>
          </cell>
          <cell r="S10">
            <v>12744063.851649521</v>
          </cell>
          <cell r="T10">
            <v>92616.743107918024</v>
          </cell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</row>
        <row r="11">
          <cell r="G11">
            <v>290140.50778922066</v>
          </cell>
          <cell r="H11">
            <v>301476.72551918775</v>
          </cell>
          <cell r="I11">
            <v>301476.72551918775</v>
          </cell>
          <cell r="J11">
            <v>328054.1609791182</v>
          </cell>
          <cell r="K11">
            <v>316717.94324914739</v>
          </cell>
          <cell r="L11">
            <v>301476.72551918775</v>
          </cell>
          <cell r="M11">
            <v>395818.91967280768</v>
          </cell>
          <cell r="N11">
            <v>370182.61080815829</v>
          </cell>
          <cell r="O11">
            <v>370182.61080815829</v>
          </cell>
          <cell r="P11">
            <v>322961.89751117863</v>
          </cell>
          <cell r="Q11">
            <v>370182.61080815829</v>
          </cell>
          <cell r="R11">
            <v>383957.01524048485</v>
          </cell>
          <cell r="S11">
            <v>4052628.4534239955</v>
          </cell>
          <cell r="T11">
            <v>29452.24166732555</v>
          </cell>
          <cell r="U11"/>
          <cell r="V11">
            <v>591617.23330841213</v>
          </cell>
          <cell r="W11">
            <v>893093.95882759988</v>
          </cell>
          <cell r="X11">
            <v>1221148.1198067218</v>
          </cell>
          <cell r="Y11">
            <v>1537866.0630558729</v>
          </cell>
          <cell r="Z11">
            <v>1839342.7885750532</v>
          </cell>
          <cell r="AA11">
            <v>2235161.7082478553</v>
          </cell>
          <cell r="AB11">
            <v>2605344.3190560043</v>
          </cell>
          <cell r="AC11">
            <v>2975526.9298641533</v>
          </cell>
          <cell r="AD11">
            <v>3298488.8273753375</v>
          </cell>
          <cell r="AE11">
            <v>3668671.4381834865</v>
          </cell>
          <cell r="AF11">
            <v>4052628.4534239769</v>
          </cell>
        </row>
        <row r="12">
          <cell r="G12">
            <v>29606.174264206187</v>
          </cell>
          <cell r="H12">
            <v>29556.541717567427</v>
          </cell>
          <cell r="I12">
            <v>29556.541717567427</v>
          </cell>
          <cell r="J12">
            <v>29554.428917037676</v>
          </cell>
          <cell r="K12">
            <v>29599.807780294148</v>
          </cell>
          <cell r="L12">
            <v>29556.541717567427</v>
          </cell>
          <cell r="M12">
            <v>29319.919975763532</v>
          </cell>
          <cell r="N12">
            <v>29379.572286361767</v>
          </cell>
          <cell r="O12">
            <v>29379.572286361767</v>
          </cell>
          <cell r="P12">
            <v>29360.172501016241</v>
          </cell>
          <cell r="Q12">
            <v>29379.572286361767</v>
          </cell>
          <cell r="R12">
            <v>29309.695819884339</v>
          </cell>
          <cell r="S12">
            <v>353558.54126998968</v>
          </cell>
          <cell r="T12">
            <v>2569.4661429505063</v>
          </cell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</row>
        <row r="13">
          <cell r="G13">
            <v>2.7036788741766085E-2</v>
          </cell>
          <cell r="H13">
            <v>2.6999659308549601E-2</v>
          </cell>
          <cell r="I13">
            <v>2.6999659308549601E-2</v>
          </cell>
          <cell r="J13">
            <v>2.7011033490203083E-2</v>
          </cell>
          <cell r="K13">
            <v>2.7045480273837002E-2</v>
          </cell>
          <cell r="L13">
            <v>2.6999659308549601E-2</v>
          </cell>
          <cell r="M13">
            <v>2.6937172635517558E-2</v>
          </cell>
          <cell r="N13">
            <v>2.6995172511963279E-2</v>
          </cell>
          <cell r="O13">
            <v>2.6995172511963279E-2</v>
          </cell>
          <cell r="P13">
            <v>2.6961643574252351E-2</v>
          </cell>
          <cell r="Q13">
            <v>2.6995172511963279E-2</v>
          </cell>
          <cell r="R13">
            <v>2.6951849979357047E-2</v>
          </cell>
          <cell r="S13">
            <v>2.6991892960838655E-2</v>
          </cell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</row>
        <row r="14">
          <cell r="G14">
            <v>117303.42</v>
          </cell>
          <cell r="H14">
            <v>124380.2</v>
          </cell>
          <cell r="I14">
            <v>131106</v>
          </cell>
          <cell r="J14">
            <v>117386.58000000002</v>
          </cell>
          <cell r="K14">
            <v>118764.58000000002</v>
          </cell>
          <cell r="L14">
            <v>128141.56000000001</v>
          </cell>
          <cell r="M14">
            <v>116814.58000000002</v>
          </cell>
          <cell r="N14">
            <v>116814.58000000002</v>
          </cell>
          <cell r="O14">
            <v>140361.42000000001</v>
          </cell>
          <cell r="P14">
            <v>117425.58000000002</v>
          </cell>
          <cell r="Q14">
            <v>116814.58000000002</v>
          </cell>
          <cell r="R14">
            <v>118641.56000000001</v>
          </cell>
          <cell r="S14">
            <v>1463954.6400000004</v>
          </cell>
          <cell r="T14">
            <v>10639.205232558143</v>
          </cell>
          <cell r="U14"/>
          <cell r="V14">
            <v>241683.62</v>
          </cell>
          <cell r="W14">
            <v>372789.62</v>
          </cell>
          <cell r="X14">
            <v>490176.2</v>
          </cell>
          <cell r="Y14">
            <v>608940.78</v>
          </cell>
          <cell r="Z14">
            <v>737082.34000000008</v>
          </cell>
          <cell r="AA14">
            <v>853896.92000000016</v>
          </cell>
          <cell r="AB14">
            <v>970711.50000000023</v>
          </cell>
          <cell r="AC14">
            <v>1111072.9200000002</v>
          </cell>
          <cell r="AD14">
            <v>1228498.5000000002</v>
          </cell>
          <cell r="AE14">
            <v>1345313.0800000003</v>
          </cell>
          <cell r="AF14">
            <v>1463954.6400000001</v>
          </cell>
        </row>
        <row r="15">
          <cell r="G15">
            <v>87502.28</v>
          </cell>
          <cell r="H15">
            <v>87502.28</v>
          </cell>
          <cell r="I15">
            <v>89090.290000000008</v>
          </cell>
          <cell r="J15">
            <v>89090.290000000008</v>
          </cell>
          <cell r="K15">
            <v>89090.290000000008</v>
          </cell>
          <cell r="L15">
            <v>89090.290000000008</v>
          </cell>
          <cell r="M15">
            <v>89090.290000000008</v>
          </cell>
          <cell r="N15">
            <v>89090.290000000008</v>
          </cell>
          <cell r="O15">
            <v>89090.290000000008</v>
          </cell>
          <cell r="P15">
            <v>89090.290000000008</v>
          </cell>
          <cell r="Q15">
            <v>89090.290000000008</v>
          </cell>
          <cell r="R15">
            <v>89090.290000000008</v>
          </cell>
          <cell r="S15">
            <v>1065907.4600000002</v>
          </cell>
          <cell r="T15">
            <v>7746.420494186048</v>
          </cell>
          <cell r="U15"/>
          <cell r="V15">
            <v>175004.56</v>
          </cell>
          <cell r="W15">
            <v>264094.84999999998</v>
          </cell>
          <cell r="X15">
            <v>353185.14</v>
          </cell>
          <cell r="Y15">
            <v>442275.43000000005</v>
          </cell>
          <cell r="Z15">
            <v>531365.72000000009</v>
          </cell>
          <cell r="AA15">
            <v>620456.01000000013</v>
          </cell>
          <cell r="AB15">
            <v>709546.30000000016</v>
          </cell>
          <cell r="AC15">
            <v>798636.5900000002</v>
          </cell>
          <cell r="AD15">
            <v>887726.88000000024</v>
          </cell>
          <cell r="AE15">
            <v>976817.17000000027</v>
          </cell>
          <cell r="AF15">
            <v>1065907.4600000002</v>
          </cell>
        </row>
        <row r="16">
          <cell r="G16">
            <v>29801.14</v>
          </cell>
          <cell r="H16">
            <v>36877.919999999998</v>
          </cell>
          <cell r="I16">
            <v>42015.71</v>
          </cell>
          <cell r="J16">
            <v>28296.29</v>
          </cell>
          <cell r="K16">
            <v>29674.29</v>
          </cell>
          <cell r="L16">
            <v>39051.270000000004</v>
          </cell>
          <cell r="M16">
            <v>27724.29</v>
          </cell>
          <cell r="N16">
            <v>27724.29</v>
          </cell>
          <cell r="O16">
            <v>51271.130000000005</v>
          </cell>
          <cell r="P16">
            <v>28335.29</v>
          </cell>
          <cell r="Q16">
            <v>27724.29</v>
          </cell>
          <cell r="R16">
            <v>29551.27</v>
          </cell>
          <cell r="S16">
            <v>398047.18</v>
          </cell>
          <cell r="T16">
            <v>2892.7847383720932</v>
          </cell>
          <cell r="U16"/>
          <cell r="V16">
            <v>66679.06</v>
          </cell>
          <cell r="W16">
            <v>108694.76999999999</v>
          </cell>
          <cell r="X16">
            <v>136991.06</v>
          </cell>
          <cell r="Y16">
            <v>166665.35</v>
          </cell>
          <cell r="Z16">
            <v>205716.62</v>
          </cell>
          <cell r="AA16">
            <v>233440.91</v>
          </cell>
          <cell r="AB16">
            <v>261165.2</v>
          </cell>
          <cell r="AC16">
            <v>312436.33</v>
          </cell>
          <cell r="AD16">
            <v>340771.62</v>
          </cell>
          <cell r="AE16">
            <v>368495.91</v>
          </cell>
          <cell r="AF16">
            <v>398047.18</v>
          </cell>
        </row>
        <row r="17">
          <cell r="G17">
            <v>172837.08778922068</v>
          </cell>
          <cell r="H17">
            <v>177096.52551918774</v>
          </cell>
          <cell r="I17">
            <v>170370.72551918775</v>
          </cell>
          <cell r="J17">
            <v>210667.58097911818</v>
          </cell>
          <cell r="K17">
            <v>197953.36324914737</v>
          </cell>
          <cell r="L17">
            <v>173335.16551918775</v>
          </cell>
          <cell r="M17">
            <v>279004.33967280766</v>
          </cell>
          <cell r="N17">
            <v>253368.03080815828</v>
          </cell>
          <cell r="O17">
            <v>229821.19080815828</v>
          </cell>
          <cell r="P17">
            <v>205536.31751117861</v>
          </cell>
          <cell r="Q17">
            <v>253368.03080815828</v>
          </cell>
          <cell r="R17">
            <v>265315.45524048485</v>
          </cell>
          <cell r="S17">
            <v>2588673.8134239954</v>
          </cell>
          <cell r="T17">
            <v>18813.036434767408</v>
          </cell>
          <cell r="U17"/>
          <cell r="V17">
            <v>349933.61330841214</v>
          </cell>
          <cell r="W17">
            <v>520304.33882759989</v>
          </cell>
          <cell r="X17">
            <v>730971.91980672185</v>
          </cell>
          <cell r="Y17">
            <v>928925.28305587289</v>
          </cell>
          <cell r="Z17">
            <v>1102260.4485750531</v>
          </cell>
          <cell r="AA17">
            <v>1381264.7882478551</v>
          </cell>
          <cell r="AB17">
            <v>1634632.8190560041</v>
          </cell>
          <cell r="AC17">
            <v>1864454.0098641531</v>
          </cell>
          <cell r="AD17">
            <v>2069990.3273753372</v>
          </cell>
          <cell r="AE17">
            <v>2323358.3581834864</v>
          </cell>
          <cell r="AF17">
            <v>2588673.8134239768</v>
          </cell>
        </row>
        <row r="18">
          <cell r="G18">
            <v>1.6105851144005093E-2</v>
          </cell>
          <cell r="H18">
            <v>1.5860414582622908E-2</v>
          </cell>
          <cell r="I18">
            <v>1.5258065236202515E-2</v>
          </cell>
          <cell r="J18">
            <v>1.7345761041845899E-2</v>
          </cell>
          <cell r="K18">
            <v>1.6903822138940081E-2</v>
          </cell>
          <cell r="L18">
            <v>1.5523554619844978E-2</v>
          </cell>
          <cell r="M18">
            <v>1.8987440191180212E-2</v>
          </cell>
          <cell r="N18">
            <v>1.8476593716140927E-2</v>
          </cell>
          <cell r="O18">
            <v>1.6759465495223454E-2</v>
          </cell>
          <cell r="P18">
            <v>1.715867096708815E-2</v>
          </cell>
          <cell r="Q18">
            <v>1.8476593716140927E-2</v>
          </cell>
          <cell r="R18">
            <v>1.8623809601102412E-2</v>
          </cell>
          <cell r="S18">
            <v>1.7241453857787491E-2</v>
          </cell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</row>
        <row r="19">
          <cell r="G19">
            <v>5475.768</v>
          </cell>
          <cell r="H19">
            <v>5475.768</v>
          </cell>
          <cell r="I19">
            <v>5475.768</v>
          </cell>
          <cell r="J19">
            <v>5475.768</v>
          </cell>
          <cell r="K19">
            <v>5475.768</v>
          </cell>
          <cell r="L19">
            <v>5475.768</v>
          </cell>
          <cell r="M19">
            <v>5475.768</v>
          </cell>
          <cell r="N19">
            <v>5475.768</v>
          </cell>
          <cell r="O19">
            <v>5475.768</v>
          </cell>
          <cell r="P19">
            <v>5475.768</v>
          </cell>
          <cell r="Q19">
            <v>5475.768</v>
          </cell>
          <cell r="R19">
            <v>5475.768</v>
          </cell>
          <cell r="S19">
            <v>65709.215999999986</v>
          </cell>
          <cell r="T19">
            <v>477.53790697674407</v>
          </cell>
          <cell r="U19"/>
          <cell r="V19">
            <v>10951.536</v>
          </cell>
          <cell r="W19">
            <v>16427.304</v>
          </cell>
          <cell r="X19">
            <v>21903.072</v>
          </cell>
          <cell r="Y19">
            <v>27378.84</v>
          </cell>
          <cell r="Z19">
            <v>32854.608</v>
          </cell>
          <cell r="AA19">
            <v>38330.376000000004</v>
          </cell>
          <cell r="AB19">
            <v>43806.144</v>
          </cell>
          <cell r="AC19">
            <v>49281.911999999997</v>
          </cell>
          <cell r="AD19">
            <v>54757.679999999993</v>
          </cell>
          <cell r="AE19">
            <v>60233.447999999989</v>
          </cell>
          <cell r="AF19">
            <v>65709.215999999986</v>
          </cell>
        </row>
        <row r="20">
          <cell r="G20">
            <v>5475.768</v>
          </cell>
          <cell r="H20">
            <v>5475.768</v>
          </cell>
          <cell r="I20">
            <v>5475.768</v>
          </cell>
          <cell r="J20">
            <v>5475.768</v>
          </cell>
          <cell r="K20">
            <v>5475.768</v>
          </cell>
          <cell r="L20">
            <v>5475.768</v>
          </cell>
          <cell r="M20">
            <v>5475.768</v>
          </cell>
          <cell r="N20">
            <v>5475.768</v>
          </cell>
          <cell r="O20">
            <v>5475.768</v>
          </cell>
          <cell r="P20">
            <v>5475.768</v>
          </cell>
          <cell r="Q20">
            <v>5475.768</v>
          </cell>
          <cell r="R20">
            <v>5475.768</v>
          </cell>
          <cell r="S20">
            <v>65709.215999999986</v>
          </cell>
          <cell r="T20">
            <v>477.53790697674407</v>
          </cell>
          <cell r="U20"/>
          <cell r="V20">
            <v>10951.536</v>
          </cell>
          <cell r="W20">
            <v>16427.304</v>
          </cell>
          <cell r="X20">
            <v>21903.072</v>
          </cell>
          <cell r="Y20">
            <v>27378.84</v>
          </cell>
          <cell r="Z20">
            <v>32854.608</v>
          </cell>
          <cell r="AA20">
            <v>38330.376000000004</v>
          </cell>
          <cell r="AB20">
            <v>43806.144</v>
          </cell>
          <cell r="AC20">
            <v>49281.911999999997</v>
          </cell>
          <cell r="AD20">
            <v>54757.679999999993</v>
          </cell>
          <cell r="AE20">
            <v>60233.447999999989</v>
          </cell>
          <cell r="AF20">
            <v>65709.215999999986</v>
          </cell>
        </row>
        <row r="21">
          <cell r="G21">
            <v>167361.31978922067</v>
          </cell>
          <cell r="H21">
            <v>171620.75751918773</v>
          </cell>
          <cell r="I21">
            <v>164894.95751918774</v>
          </cell>
          <cell r="J21">
            <v>205191.81297911817</v>
          </cell>
          <cell r="K21">
            <v>192477.59524914736</v>
          </cell>
          <cell r="L21">
            <v>167859.39751918774</v>
          </cell>
          <cell r="M21">
            <v>273528.57167280768</v>
          </cell>
          <cell r="N21">
            <v>247892.26280815827</v>
          </cell>
          <cell r="O21">
            <v>224345.42280815827</v>
          </cell>
          <cell r="P21">
            <v>200060.5495111786</v>
          </cell>
          <cell r="Q21">
            <v>247892.26280815827</v>
          </cell>
          <cell r="R21">
            <v>259839.68724048484</v>
          </cell>
          <cell r="S21">
            <v>2522964.5974239949</v>
          </cell>
          <cell r="T21">
            <v>18335.498527790664</v>
          </cell>
          <cell r="U21"/>
          <cell r="V21">
            <v>338982.07730841212</v>
          </cell>
          <cell r="W21">
            <v>503877.03482759988</v>
          </cell>
          <cell r="X21">
            <v>709068.84780672181</v>
          </cell>
          <cell r="Y21">
            <v>901546.44305587292</v>
          </cell>
          <cell r="Z21">
            <v>1069405.8405750531</v>
          </cell>
          <cell r="AA21">
            <v>1342934.4122478552</v>
          </cell>
          <cell r="AB21">
            <v>1590826.675056004</v>
          </cell>
          <cell r="AC21">
            <v>1815172.0978641531</v>
          </cell>
          <cell r="AD21">
            <v>2015232.6473753373</v>
          </cell>
          <cell r="AE21">
            <v>2263124.9101834865</v>
          </cell>
          <cell r="AF21">
            <v>2522964.5974239768</v>
          </cell>
        </row>
        <row r="22">
          <cell r="G22">
            <v>1.5595590843769885E-2</v>
          </cell>
          <cell r="H22">
            <v>1.5370015629940743E-2</v>
          </cell>
          <cell r="I22">
            <v>1.476766628352035E-2</v>
          </cell>
          <cell r="J22">
            <v>1.6894902097118178E-2</v>
          </cell>
          <cell r="K22">
            <v>1.6436230142386828E-2</v>
          </cell>
          <cell r="L22">
            <v>1.5033155667162812E-2</v>
          </cell>
          <cell r="M22">
            <v>1.8614790728011622E-2</v>
          </cell>
          <cell r="N22">
            <v>1.8077279168456532E-2</v>
          </cell>
          <cell r="O22">
            <v>1.6360150947539058E-2</v>
          </cell>
          <cell r="P22">
            <v>1.6701540555578272E-2</v>
          </cell>
          <cell r="Q22">
            <v>1.8077279168456532E-2</v>
          </cell>
          <cell r="R22">
            <v>1.8239438247540013E-2</v>
          </cell>
          <cell r="S22">
            <v>1.6803807982969102E-2</v>
          </cell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S23"/>
        </row>
        <row r="24">
          <cell r="G24">
            <v>9800</v>
          </cell>
          <cell r="H24">
            <v>10200</v>
          </cell>
          <cell r="I24">
            <v>10200</v>
          </cell>
          <cell r="J24">
            <v>11100</v>
          </cell>
          <cell r="K24">
            <v>10700</v>
          </cell>
          <cell r="L24">
            <v>10200</v>
          </cell>
          <cell r="M24">
            <v>13500</v>
          </cell>
          <cell r="N24">
            <v>12600</v>
          </cell>
          <cell r="O24">
            <v>12600</v>
          </cell>
          <cell r="P24">
            <v>11000</v>
          </cell>
          <cell r="Q24">
            <v>12600</v>
          </cell>
          <cell r="R24">
            <v>13100</v>
          </cell>
          <cell r="S24">
            <v>137600</v>
          </cell>
          <cell r="T24"/>
          <cell r="U24"/>
          <cell r="V24">
            <v>20000</v>
          </cell>
          <cell r="W24">
            <v>30200</v>
          </cell>
          <cell r="X24">
            <v>41300</v>
          </cell>
          <cell r="Y24">
            <v>52000</v>
          </cell>
          <cell r="Z24">
            <v>62200</v>
          </cell>
          <cell r="AA24">
            <v>75700</v>
          </cell>
          <cell r="AB24">
            <v>88300</v>
          </cell>
          <cell r="AC24">
            <v>100900</v>
          </cell>
          <cell r="AD24">
            <v>111900</v>
          </cell>
          <cell r="AE24">
            <v>124500</v>
          </cell>
          <cell r="AF24">
            <v>137600</v>
          </cell>
        </row>
        <row r="25">
          <cell r="G25">
            <v>872959.18367346935</v>
          </cell>
          <cell r="H25">
            <v>872058.82352941169</v>
          </cell>
          <cell r="I25">
            <v>872058.82352941169</v>
          </cell>
          <cell r="J25">
            <v>872522.52252252249</v>
          </cell>
          <cell r="K25">
            <v>873364.48598130851</v>
          </cell>
          <cell r="L25">
            <v>872058.82352941169</v>
          </cell>
          <cell r="M25">
            <v>872222.22222222213</v>
          </cell>
          <cell r="N25">
            <v>873809.5238095239</v>
          </cell>
          <cell r="O25">
            <v>873809.5238095239</v>
          </cell>
          <cell r="P25">
            <v>872727.27272727271</v>
          </cell>
          <cell r="Q25">
            <v>873809.5238095239</v>
          </cell>
          <cell r="R25">
            <v>872900.76335877855</v>
          </cell>
          <cell r="S25">
            <v>872892.44186046522</v>
          </cell>
          <cell r="T25"/>
          <cell r="U25"/>
          <cell r="V25">
            <v>872500</v>
          </cell>
          <cell r="W25">
            <v>872350.99337748345</v>
          </cell>
          <cell r="X25">
            <v>872397.09443099273</v>
          </cell>
          <cell r="Y25">
            <v>872596.15384615376</v>
          </cell>
          <cell r="Z25">
            <v>872508.03858520894</v>
          </cell>
          <cell r="AA25">
            <v>872457.06737120217</v>
          </cell>
          <cell r="AB25">
            <v>872650.05662514153</v>
          </cell>
          <cell r="AC25">
            <v>872794.84638255707</v>
          </cell>
          <cell r="AD25">
            <v>872788.20375335123</v>
          </cell>
          <cell r="AE25">
            <v>872891.56626506022</v>
          </cell>
          <cell r="AF25">
            <v>872892.44186046522</v>
          </cell>
        </row>
        <row r="26">
          <cell r="G26">
            <v>8555000</v>
          </cell>
          <cell r="H26">
            <v>8895000</v>
          </cell>
          <cell r="I26">
            <v>8895000</v>
          </cell>
          <cell r="J26">
            <v>9685000</v>
          </cell>
          <cell r="K26">
            <v>9345000</v>
          </cell>
          <cell r="L26">
            <v>8895000</v>
          </cell>
          <cell r="M26">
            <v>11775000</v>
          </cell>
          <cell r="N26">
            <v>11010000</v>
          </cell>
          <cell r="O26">
            <v>11010000</v>
          </cell>
          <cell r="P26">
            <v>9600000</v>
          </cell>
          <cell r="Q26">
            <v>11010000</v>
          </cell>
          <cell r="R26">
            <v>11435000</v>
          </cell>
          <cell r="S26">
            <v>120110000</v>
          </cell>
          <cell r="T26"/>
          <cell r="U26"/>
          <cell r="V26">
            <v>17450000</v>
          </cell>
          <cell r="W26">
            <v>26345000</v>
          </cell>
          <cell r="X26">
            <v>36030000</v>
          </cell>
          <cell r="Y26">
            <v>45375000</v>
          </cell>
          <cell r="Z26">
            <v>54270000</v>
          </cell>
          <cell r="AA26">
            <v>66045000</v>
          </cell>
          <cell r="AB26">
            <v>77055000</v>
          </cell>
          <cell r="AC26">
            <v>88065000</v>
          </cell>
          <cell r="AD26">
            <v>97665000</v>
          </cell>
          <cell r="AE26">
            <v>108675000</v>
          </cell>
          <cell r="AF26">
            <v>120110000</v>
          </cell>
        </row>
        <row r="27">
          <cell r="G27">
            <v>2176322.8120547961</v>
          </cell>
          <cell r="H27">
            <v>2270945.5430136994</v>
          </cell>
          <cell r="I27">
            <v>2270945.5430136994</v>
          </cell>
          <cell r="J27">
            <v>2460191.0049315076</v>
          </cell>
          <cell r="K27">
            <v>2365568.2739726007</v>
          </cell>
          <cell r="L27">
            <v>2270945.5430136994</v>
          </cell>
          <cell r="M27">
            <v>2919152.3903999962</v>
          </cell>
          <cell r="N27">
            <v>2702918.8800000008</v>
          </cell>
          <cell r="O27">
            <v>2702918.8800000008</v>
          </cell>
          <cell r="P27">
            <v>2378568.6143999994</v>
          </cell>
          <cell r="Q27">
            <v>2702918.8800000008</v>
          </cell>
          <cell r="R27">
            <v>2811035.6351999994</v>
          </cell>
          <cell r="S27">
            <v>30032432.000000007</v>
          </cell>
          <cell r="T27"/>
          <cell r="U27"/>
          <cell r="V27">
            <v>4447268.3550684955</v>
          </cell>
          <cell r="W27">
            <v>6718213.8980821948</v>
          </cell>
          <cell r="X27">
            <v>9178404.9030137025</v>
          </cell>
          <cell r="Y27">
            <v>11543973.176986303</v>
          </cell>
          <cell r="Z27">
            <v>13814918.720000003</v>
          </cell>
          <cell r="AA27">
            <v>16734071.110399999</v>
          </cell>
          <cell r="AB27">
            <v>19436989.990400001</v>
          </cell>
          <cell r="AC27">
            <v>22139908.870400004</v>
          </cell>
          <cell r="AD27">
            <v>24518477.484800003</v>
          </cell>
          <cell r="AE27">
            <v>27221396.364800006</v>
          </cell>
          <cell r="AF27">
            <v>30032432.000000007</v>
          </cell>
        </row>
        <row r="28">
          <cell r="G28">
            <v>10731322.812054796</v>
          </cell>
          <cell r="H28">
            <v>11165945.543013699</v>
          </cell>
          <cell r="I28">
            <v>11165945.543013699</v>
          </cell>
          <cell r="J28">
            <v>12145191.004931508</v>
          </cell>
          <cell r="K28">
            <v>11710568.273972601</v>
          </cell>
          <cell r="L28">
            <v>11165945.543013699</v>
          </cell>
          <cell r="M28">
            <v>14694152.390399996</v>
          </cell>
          <cell r="N28">
            <v>13712918.880000001</v>
          </cell>
          <cell r="O28">
            <v>13712918.880000001</v>
          </cell>
          <cell r="P28">
            <v>11978568.614399999</v>
          </cell>
          <cell r="Q28">
            <v>13712918.880000001</v>
          </cell>
          <cell r="R28">
            <v>14246035.635199999</v>
          </cell>
          <cell r="S28">
            <v>150142431.99999997</v>
          </cell>
          <cell r="T28"/>
          <cell r="U28"/>
          <cell r="V28">
            <v>21897268.355068497</v>
          </cell>
          <cell r="W28">
            <v>33063213.898082197</v>
          </cell>
          <cell r="X28">
            <v>45208404.903013706</v>
          </cell>
          <cell r="Y28">
            <v>56918973.176986307</v>
          </cell>
          <cell r="Z28">
            <v>68084918.719999999</v>
          </cell>
          <cell r="AA28">
            <v>82779071.110399991</v>
          </cell>
          <cell r="AB28">
            <v>96491989.990400001</v>
          </cell>
          <cell r="AC28">
            <v>110204908.87040001</v>
          </cell>
          <cell r="AD28">
            <v>122183477.48480001</v>
          </cell>
          <cell r="AE28">
            <v>135896396.36480001</v>
          </cell>
          <cell r="AF28">
            <v>150142432</v>
          </cell>
        </row>
        <row r="29">
          <cell r="G29">
            <v>8349642.5</v>
          </cell>
          <cell r="H29">
            <v>8681992.5</v>
          </cell>
          <cell r="I29">
            <v>8681992.5</v>
          </cell>
          <cell r="J29">
            <v>9452787.5</v>
          </cell>
          <cell r="K29">
            <v>9120437.5</v>
          </cell>
          <cell r="L29">
            <v>8681992.5</v>
          </cell>
          <cell r="M29">
            <v>11492902.5</v>
          </cell>
          <cell r="N29">
            <v>10745115</v>
          </cell>
          <cell r="O29">
            <v>10745115</v>
          </cell>
          <cell r="P29">
            <v>9369700</v>
          </cell>
          <cell r="Q29">
            <v>10745115</v>
          </cell>
          <cell r="R29">
            <v>11160552.5</v>
          </cell>
          <cell r="S29">
            <v>117227345</v>
          </cell>
          <cell r="T29"/>
          <cell r="U29"/>
          <cell r="V29">
            <v>17031635</v>
          </cell>
          <cell r="W29">
            <v>25713627.5</v>
          </cell>
          <cell r="X29">
            <v>35166415</v>
          </cell>
          <cell r="Y29">
            <v>44286852.5</v>
          </cell>
          <cell r="Z29">
            <v>52968845</v>
          </cell>
          <cell r="AA29">
            <v>64461747.5</v>
          </cell>
          <cell r="AB29">
            <v>75206862.5</v>
          </cell>
          <cell r="AC29">
            <v>85951977.5</v>
          </cell>
          <cell r="AD29">
            <v>95321677.5</v>
          </cell>
          <cell r="AE29">
            <v>106066792.5</v>
          </cell>
          <cell r="AF29">
            <v>117227345</v>
          </cell>
        </row>
        <row r="30">
          <cell r="G30">
            <v>2091539.8042655755</v>
          </cell>
          <cell r="H30">
            <v>2182476.3174945116</v>
          </cell>
          <cell r="I30">
            <v>2182476.3174945116</v>
          </cell>
          <cell r="J30">
            <v>2364349.3439523894</v>
          </cell>
          <cell r="K30">
            <v>2273412.8307234533</v>
          </cell>
          <cell r="L30">
            <v>2182476.3174945116</v>
          </cell>
          <cell r="M30">
            <v>2805430.9707271885</v>
          </cell>
          <cell r="N30">
            <v>2597621.2691918425</v>
          </cell>
          <cell r="O30">
            <v>2597621.2691918425</v>
          </cell>
          <cell r="P30">
            <v>2285906.7168888208</v>
          </cell>
          <cell r="Q30">
            <v>2597621.2691918425</v>
          </cell>
          <cell r="R30">
            <v>2701526.1199595146</v>
          </cell>
          <cell r="S30">
            <v>28862458.546576001</v>
          </cell>
          <cell r="T30"/>
          <cell r="U30"/>
          <cell r="V30">
            <v>4274016.1217600871</v>
          </cell>
          <cell r="W30">
            <v>6456492.4392545987</v>
          </cell>
          <cell r="X30">
            <v>8820841.7832069881</v>
          </cell>
          <cell r="Y30">
            <v>11094254.613930441</v>
          </cell>
          <cell r="Z30">
            <v>13276730.931424953</v>
          </cell>
          <cell r="AA30">
            <v>16082161.902152142</v>
          </cell>
          <cell r="AB30">
            <v>18679783.171343982</v>
          </cell>
          <cell r="AC30">
            <v>21277404.440535825</v>
          </cell>
          <cell r="AD30">
            <v>23563311.157424644</v>
          </cell>
          <cell r="AE30">
            <v>26160932.426616486</v>
          </cell>
          <cell r="AF30">
            <v>28862458.546576001</v>
          </cell>
        </row>
        <row r="31">
          <cell r="G31">
            <v>10441182.304265575</v>
          </cell>
          <cell r="H31">
            <v>10864468.817494512</v>
          </cell>
          <cell r="I31">
            <v>10864468.817494512</v>
          </cell>
          <cell r="J31">
            <v>11817136.843952389</v>
          </cell>
          <cell r="K31">
            <v>11393850.330723453</v>
          </cell>
          <cell r="L31">
            <v>10864468.817494512</v>
          </cell>
          <cell r="M31">
            <v>14298333.470727189</v>
          </cell>
          <cell r="N31">
            <v>13342736.269191843</v>
          </cell>
          <cell r="O31">
            <v>13342736.269191843</v>
          </cell>
          <cell r="P31">
            <v>11655606.716888821</v>
          </cell>
          <cell r="Q31">
            <v>13342736.269191843</v>
          </cell>
          <cell r="R31">
            <v>13862078.619959515</v>
          </cell>
          <cell r="S31">
            <v>146089803.54657599</v>
          </cell>
          <cell r="T31"/>
          <cell r="U31"/>
          <cell r="V31">
            <v>21305651.121760085</v>
          </cell>
          <cell r="W31">
            <v>32170119.939254597</v>
          </cell>
          <cell r="X31">
            <v>43987256.783206984</v>
          </cell>
          <cell r="Y31">
            <v>55381107.113930441</v>
          </cell>
          <cell r="Z31">
            <v>66245575.931424953</v>
          </cell>
          <cell r="AA31">
            <v>80543909.402152136</v>
          </cell>
          <cell r="AB31">
            <v>93886645.671343982</v>
          </cell>
          <cell r="AC31">
            <v>107229381.94053583</v>
          </cell>
          <cell r="AD31">
            <v>118884988.65742464</v>
          </cell>
          <cell r="AE31">
            <v>132227724.92661649</v>
          </cell>
          <cell r="AF31">
            <v>146089803.54657599</v>
          </cell>
        </row>
        <row r="32">
          <cell r="G32">
            <v>205357.5</v>
          </cell>
          <cell r="H32">
            <v>213007.5</v>
          </cell>
          <cell r="I32">
            <v>213007.5</v>
          </cell>
          <cell r="J32">
            <v>232212.5</v>
          </cell>
          <cell r="K32">
            <v>224562.5</v>
          </cell>
          <cell r="L32">
            <v>213007.5</v>
          </cell>
          <cell r="M32">
            <v>282097.5</v>
          </cell>
          <cell r="N32">
            <v>264885</v>
          </cell>
          <cell r="O32">
            <v>264885</v>
          </cell>
          <cell r="P32">
            <v>230300</v>
          </cell>
          <cell r="Q32">
            <v>264885</v>
          </cell>
          <cell r="R32">
            <v>274447.5</v>
          </cell>
          <cell r="S32">
            <v>2882655</v>
          </cell>
          <cell r="T32"/>
          <cell r="U32"/>
          <cell r="V32">
            <v>418365</v>
          </cell>
          <cell r="W32">
            <v>631372.5</v>
          </cell>
          <cell r="X32">
            <v>863585</v>
          </cell>
          <cell r="Y32">
            <v>1088147.5</v>
          </cell>
          <cell r="Z32">
            <v>1301155</v>
          </cell>
          <cell r="AA32">
            <v>1583252.5</v>
          </cell>
          <cell r="AB32">
            <v>1848137.5</v>
          </cell>
          <cell r="AC32">
            <v>2113022.5</v>
          </cell>
          <cell r="AD32">
            <v>2343322.5</v>
          </cell>
          <cell r="AE32">
            <v>2608207.5</v>
          </cell>
          <cell r="AF32">
            <v>2882655</v>
          </cell>
        </row>
        <row r="33">
          <cell r="G33">
            <v>2.4004383401519579E-2</v>
          </cell>
          <cell r="H33">
            <v>2.3946880269814501E-2</v>
          </cell>
          <cell r="I33">
            <v>2.3946880269814501E-2</v>
          </cell>
          <cell r="J33">
            <v>2.3976510067114095E-2</v>
          </cell>
          <cell r="K33">
            <v>2.4030230069555913E-2</v>
          </cell>
          <cell r="L33">
            <v>2.3946880269814501E-2</v>
          </cell>
          <cell r="M33">
            <v>2.3957324840764332E-2</v>
          </cell>
          <cell r="N33">
            <v>2.4058583106267031E-2</v>
          </cell>
          <cell r="O33">
            <v>2.4058583106267031E-2</v>
          </cell>
          <cell r="P33">
            <v>2.3989583333333335E-2</v>
          </cell>
          <cell r="Q33">
            <v>2.4058583106267031E-2</v>
          </cell>
          <cell r="R33">
            <v>2.4000655881066899E-2</v>
          </cell>
          <cell r="S33">
            <v>2.4000124885521605E-2</v>
          </cell>
          <cell r="T33"/>
          <cell r="U33"/>
          <cell r="V33">
            <v>2.3975071633237824E-2</v>
          </cell>
          <cell r="W33">
            <v>2.3965553235908141E-2</v>
          </cell>
          <cell r="X33">
            <v>2.3968498473494311E-2</v>
          </cell>
          <cell r="Y33">
            <v>2.3981212121212122E-2</v>
          </cell>
          <cell r="Z33">
            <v>2.3975585037774094E-2</v>
          </cell>
          <cell r="AA33">
            <v>2.3972329472329471E-2</v>
          </cell>
          <cell r="AB33">
            <v>2.3984653818700928E-2</v>
          </cell>
          <cell r="AC33">
            <v>2.3993896553681938E-2</v>
          </cell>
          <cell r="AD33">
            <v>2.3993472584856398E-2</v>
          </cell>
          <cell r="AE33">
            <v>2.4000069013112493E-2</v>
          </cell>
          <cell r="AF33">
            <v>2.4000124885521605E-2</v>
          </cell>
        </row>
        <row r="34">
          <cell r="G34">
            <v>84783.007789220661</v>
          </cell>
          <cell r="H34">
            <v>88469.225519187748</v>
          </cell>
          <cell r="I34">
            <v>88469.225519187748</v>
          </cell>
          <cell r="J34">
            <v>95841.660979118198</v>
          </cell>
          <cell r="K34">
            <v>92155.443249147385</v>
          </cell>
          <cell r="L34">
            <v>88469.225519187748</v>
          </cell>
          <cell r="M34">
            <v>113721.41967280768</v>
          </cell>
          <cell r="N34">
            <v>105297.61080815829</v>
          </cell>
          <cell r="O34">
            <v>105297.61080815829</v>
          </cell>
          <cell r="P34">
            <v>92661.897511178628</v>
          </cell>
          <cell r="Q34">
            <v>105297.61080815829</v>
          </cell>
          <cell r="R34">
            <v>109509.51524048485</v>
          </cell>
          <cell r="S34">
            <v>1169973.4534240067</v>
          </cell>
          <cell r="T34"/>
          <cell r="U34"/>
          <cell r="V34">
            <v>173252.23330840841</v>
          </cell>
          <cell r="W34">
            <v>261721.45882759616</v>
          </cell>
          <cell r="X34">
            <v>357563.11980671436</v>
          </cell>
          <cell r="Y34">
            <v>449718.56305586174</v>
          </cell>
          <cell r="Z34">
            <v>538187.78857504949</v>
          </cell>
          <cell r="AA34">
            <v>651909.20824785717</v>
          </cell>
          <cell r="AB34">
            <v>757206.81905601919</v>
          </cell>
          <cell r="AC34">
            <v>862504.42986417934</v>
          </cell>
          <cell r="AD34">
            <v>955166.32737535983</v>
          </cell>
          <cell r="AE34">
            <v>1060463.93818352</v>
          </cell>
          <cell r="AF34">
            <v>1169973.4534240067</v>
          </cell>
        </row>
        <row r="35">
          <cell r="G35">
            <v>3.8957000000000901E-2</v>
          </cell>
          <cell r="H35">
            <v>3.8957000000001352E-2</v>
          </cell>
          <cell r="I35">
            <v>3.8957000000001352E-2</v>
          </cell>
          <cell r="J35">
            <v>3.8957000000000588E-2</v>
          </cell>
          <cell r="K35">
            <v>3.8956999999998639E-2</v>
          </cell>
          <cell r="L35">
            <v>3.8957000000001352E-2</v>
          </cell>
          <cell r="M35">
            <v>3.8956999999998299E-2</v>
          </cell>
          <cell r="N35">
            <v>3.895699999999936E-2</v>
          </cell>
          <cell r="O35">
            <v>3.895699999999936E-2</v>
          </cell>
          <cell r="P35">
            <v>3.8956999999999097E-2</v>
          </cell>
          <cell r="Q35">
            <v>3.895699999999936E-2</v>
          </cell>
          <cell r="R35">
            <v>3.8956999999999457E-2</v>
          </cell>
          <cell r="S35">
            <v>3.8957000000000214E-2</v>
          </cell>
          <cell r="T35"/>
          <cell r="U35"/>
          <cell r="V35">
            <v>3.895700000000113E-2</v>
          </cell>
          <cell r="W35">
            <v>3.8957000000001206E-2</v>
          </cell>
          <cell r="X35">
            <v>3.8957000000001039E-2</v>
          </cell>
          <cell r="Y35">
            <v>3.8957000000000547E-2</v>
          </cell>
          <cell r="Z35">
            <v>3.8957000000000679E-2</v>
          </cell>
          <cell r="AA35">
            <v>3.8957000000000262E-2</v>
          </cell>
          <cell r="AB35">
            <v>3.8957000000000325E-2</v>
          </cell>
          <cell r="AC35">
            <v>3.895700000000029E-2</v>
          </cell>
          <cell r="AD35">
            <v>3.8957000000000248E-2</v>
          </cell>
          <cell r="AE35">
            <v>3.8957000000000228E-2</v>
          </cell>
          <cell r="AF35">
            <v>3.8957000000000214E-2</v>
          </cell>
        </row>
        <row r="36">
          <cell r="G36">
            <v>290140.50778922066</v>
          </cell>
          <cell r="H36">
            <v>301476.72551918775</v>
          </cell>
          <cell r="I36">
            <v>301476.72551918775</v>
          </cell>
          <cell r="J36">
            <v>328054.1609791182</v>
          </cell>
          <cell r="K36">
            <v>316717.94324914739</v>
          </cell>
          <cell r="L36">
            <v>301476.72551918775</v>
          </cell>
          <cell r="M36">
            <v>395818.91967280768</v>
          </cell>
          <cell r="N36">
            <v>370182.61080815829</v>
          </cell>
          <cell r="O36">
            <v>370182.61080815829</v>
          </cell>
          <cell r="P36">
            <v>322961.89751117863</v>
          </cell>
          <cell r="Q36">
            <v>370182.61080815829</v>
          </cell>
          <cell r="R36">
            <v>383957.01524048485</v>
          </cell>
          <cell r="S36">
            <v>4052628.4534240067</v>
          </cell>
          <cell r="T36"/>
          <cell r="U36"/>
          <cell r="V36">
            <v>591617.23330840841</v>
          </cell>
          <cell r="W36">
            <v>893093.95882759616</v>
          </cell>
          <cell r="X36">
            <v>1221148.1198067144</v>
          </cell>
          <cell r="Y36">
            <v>1537866.0630558617</v>
          </cell>
          <cell r="Z36">
            <v>1839342.7885750495</v>
          </cell>
          <cell r="AA36">
            <v>2235161.7082478572</v>
          </cell>
          <cell r="AB36">
            <v>2605344.3190560192</v>
          </cell>
          <cell r="AC36">
            <v>2975526.9298641793</v>
          </cell>
          <cell r="AD36">
            <v>3298488.8273753598</v>
          </cell>
          <cell r="AE36">
            <v>3668671.43818352</v>
          </cell>
          <cell r="AF36">
            <v>4052628.4534240067</v>
          </cell>
        </row>
        <row r="37">
          <cell r="G37">
            <v>2.7036788741766085E-2</v>
          </cell>
          <cell r="H37">
            <v>2.6999659308549601E-2</v>
          </cell>
          <cell r="I37">
            <v>2.6999659308549601E-2</v>
          </cell>
          <cell r="J37">
            <v>2.7011033490203083E-2</v>
          </cell>
          <cell r="K37">
            <v>2.7045480273837002E-2</v>
          </cell>
          <cell r="L37">
            <v>2.6999659308549601E-2</v>
          </cell>
          <cell r="M37">
            <v>2.6937172635517558E-2</v>
          </cell>
          <cell r="N37">
            <v>2.6995172511963279E-2</v>
          </cell>
          <cell r="O37">
            <v>2.6995172511963279E-2</v>
          </cell>
          <cell r="P37">
            <v>2.6961643574252351E-2</v>
          </cell>
          <cell r="Q37">
            <v>2.6995172511963279E-2</v>
          </cell>
          <cell r="R37">
            <v>2.6951849979357047E-2</v>
          </cell>
          <cell r="S37">
            <v>2.6991892960838728E-2</v>
          </cell>
          <cell r="T37"/>
          <cell r="U37"/>
          <cell r="V37">
            <v>2.7017855547788839E-2</v>
          </cell>
          <cell r="W37">
            <v>2.7011710403609591E-2</v>
          </cell>
          <cell r="X37">
            <v>2.7011528551526259E-2</v>
          </cell>
          <cell r="Y37">
            <v>2.701851381390797E-2</v>
          </cell>
          <cell r="Z37">
            <v>2.7015421669802787E-2</v>
          </cell>
          <cell r="AA37">
            <v>2.7001531646409612E-2</v>
          </cell>
          <cell r="AB37">
            <v>2.7000627920672225E-2</v>
          </cell>
          <cell r="AC37">
            <v>2.6999949098123862E-2</v>
          </cell>
          <cell r="AD37">
            <v>2.6996193718464935E-2</v>
          </cell>
          <cell r="AE37">
            <v>2.6996090671421086E-2</v>
          </cell>
          <cell r="AF37">
            <v>2.6991892960838725E-2</v>
          </cell>
        </row>
        <row r="39">
          <cell r="G39">
            <v>0.79719901729076015</v>
          </cell>
          <cell r="H39">
            <v>0.79661860840485799</v>
          </cell>
          <cell r="I39">
            <v>0.79661860840485799</v>
          </cell>
          <cell r="J39">
            <v>0.79743496796941638</v>
          </cell>
          <cell r="K39">
            <v>0.79799714081935635</v>
          </cell>
          <cell r="L39">
            <v>0.79661860840485799</v>
          </cell>
          <cell r="M39">
            <v>0.80133917814088129</v>
          </cell>
          <cell r="N39">
            <v>0.80289252028303393</v>
          </cell>
          <cell r="O39">
            <v>0.80289252028303393</v>
          </cell>
          <cell r="P39">
            <v>0.80143131529583511</v>
          </cell>
          <cell r="Q39">
            <v>0.80289252028303393</v>
          </cell>
          <cell r="R39">
            <v>0.80267944660658319</v>
          </cell>
          <cell r="S39">
            <v>0.79997372095318142</v>
          </cell>
        </row>
        <row r="40">
          <cell r="G40">
            <v>0.20280098270923988</v>
          </cell>
          <cell r="H40">
            <v>0.20338139159514196</v>
          </cell>
          <cell r="I40">
            <v>0.20338139159514196</v>
          </cell>
          <cell r="J40">
            <v>0.20256503203058368</v>
          </cell>
          <cell r="K40">
            <v>0.20200285918064367</v>
          </cell>
          <cell r="L40">
            <v>0.20338139159514196</v>
          </cell>
          <cell r="M40">
            <v>0.19866082185911865</v>
          </cell>
          <cell r="N40">
            <v>0.19710747971696604</v>
          </cell>
          <cell r="O40">
            <v>0.19710747971696604</v>
          </cell>
          <cell r="P40">
            <v>0.19856868470416494</v>
          </cell>
          <cell r="Q40">
            <v>0.19710747971696604</v>
          </cell>
          <cell r="R40">
            <v>0.19732055339341675</v>
          </cell>
          <cell r="S40">
            <v>0.20002627904681877</v>
          </cell>
        </row>
      </sheetData>
      <sheetData sheetId="1">
        <row r="5">
          <cell r="E5"/>
        </row>
      </sheetData>
      <sheetData sheetId="2">
        <row r="5">
          <cell r="E5"/>
        </row>
      </sheetData>
      <sheetData sheetId="3"/>
      <sheetData sheetId="4">
        <row r="4">
          <cell r="E4" t="str">
            <v>계정</v>
          </cell>
          <cell r="G4" t="str">
            <v>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  <cell r="O4" t="str">
            <v>9월</v>
          </cell>
          <cell r="P4" t="str">
            <v>10월</v>
          </cell>
          <cell r="Q4" t="str">
            <v>11월</v>
          </cell>
          <cell r="R4" t="str">
            <v>12월</v>
          </cell>
          <cell r="S4" t="str">
            <v>합계</v>
          </cell>
        </row>
        <row r="5"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G6">
            <v>65764.44</v>
          </cell>
          <cell r="H6">
            <v>65764.44</v>
          </cell>
          <cell r="I6">
            <v>67046.720000000001</v>
          </cell>
          <cell r="J6">
            <v>67046.720000000001</v>
          </cell>
          <cell r="K6">
            <v>67046.720000000001</v>
          </cell>
          <cell r="L6">
            <v>67046.720000000001</v>
          </cell>
          <cell r="M6">
            <v>67046.720000000001</v>
          </cell>
          <cell r="N6">
            <v>67046.720000000001</v>
          </cell>
          <cell r="O6">
            <v>67046.720000000001</v>
          </cell>
          <cell r="P6">
            <v>67046.720000000001</v>
          </cell>
          <cell r="Q6">
            <v>67046.720000000001</v>
          </cell>
          <cell r="R6">
            <v>67046.720000000001</v>
          </cell>
          <cell r="S6">
            <v>801996.07999999984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G8">
            <v>14899.81</v>
          </cell>
          <cell r="H8">
            <v>14899.81</v>
          </cell>
          <cell r="I8">
            <v>15205.54</v>
          </cell>
          <cell r="J8">
            <v>15205.54</v>
          </cell>
          <cell r="K8">
            <v>15205.54</v>
          </cell>
          <cell r="L8">
            <v>15205.54</v>
          </cell>
          <cell r="M8">
            <v>15205.54</v>
          </cell>
          <cell r="N8">
            <v>15205.54</v>
          </cell>
          <cell r="O8">
            <v>15205.54</v>
          </cell>
          <cell r="P8">
            <v>15205.54</v>
          </cell>
          <cell r="Q8">
            <v>15205.54</v>
          </cell>
          <cell r="R8">
            <v>15205.54</v>
          </cell>
          <cell r="S8">
            <v>181855.02000000005</v>
          </cell>
        </row>
        <row r="9">
          <cell r="G9">
            <v>6838.03</v>
          </cell>
          <cell r="H9">
            <v>6838.03</v>
          </cell>
          <cell r="I9">
            <v>6838.03</v>
          </cell>
          <cell r="J9">
            <v>6838.03</v>
          </cell>
          <cell r="K9">
            <v>6838.03</v>
          </cell>
          <cell r="L9">
            <v>6838.03</v>
          </cell>
          <cell r="M9">
            <v>6838.03</v>
          </cell>
          <cell r="N9">
            <v>6838.03</v>
          </cell>
          <cell r="O9">
            <v>6838.03</v>
          </cell>
          <cell r="P9">
            <v>6838.03</v>
          </cell>
          <cell r="Q9">
            <v>6838.03</v>
          </cell>
          <cell r="R9">
            <v>6838.03</v>
          </cell>
          <cell r="S9">
            <v>82056.36</v>
          </cell>
        </row>
        <row r="10">
          <cell r="G10">
            <v>87502.28</v>
          </cell>
          <cell r="H10">
            <v>87502.28</v>
          </cell>
          <cell r="I10">
            <v>89090.290000000008</v>
          </cell>
          <cell r="J10">
            <v>89090.290000000008</v>
          </cell>
          <cell r="K10">
            <v>89090.290000000008</v>
          </cell>
          <cell r="L10">
            <v>89090.290000000008</v>
          </cell>
          <cell r="M10">
            <v>89090.290000000008</v>
          </cell>
          <cell r="N10">
            <v>89090.290000000008</v>
          </cell>
          <cell r="O10">
            <v>89090.290000000008</v>
          </cell>
          <cell r="P10">
            <v>89090.290000000008</v>
          </cell>
          <cell r="Q10">
            <v>89090.290000000008</v>
          </cell>
          <cell r="R10">
            <v>89090.290000000008</v>
          </cell>
          <cell r="S10">
            <v>1065907.46</v>
          </cell>
        </row>
        <row r="11">
          <cell r="G11">
            <v>11646.22</v>
          </cell>
          <cell r="H11">
            <v>10723</v>
          </cell>
          <cell r="I11">
            <v>23814.19</v>
          </cell>
          <cell r="J11">
            <v>10094.77</v>
          </cell>
          <cell r="K11">
            <v>11472.77</v>
          </cell>
          <cell r="L11">
            <v>20849.75</v>
          </cell>
          <cell r="M11">
            <v>9522.77</v>
          </cell>
          <cell r="N11">
            <v>9522.77</v>
          </cell>
          <cell r="O11">
            <v>25069.61</v>
          </cell>
          <cell r="P11">
            <v>10133.77</v>
          </cell>
          <cell r="Q11">
            <v>9522.77</v>
          </cell>
          <cell r="R11">
            <v>11349.75</v>
          </cell>
          <cell r="S11">
            <v>163722.14000000001</v>
          </cell>
        </row>
        <row r="12">
          <cell r="G12">
            <v>1500</v>
          </cell>
          <cell r="H12">
            <v>1500</v>
          </cell>
          <cell r="I12">
            <v>1500</v>
          </cell>
          <cell r="J12">
            <v>1500</v>
          </cell>
          <cell r="K12">
            <v>1500</v>
          </cell>
          <cell r="L12">
            <v>1500</v>
          </cell>
          <cell r="M12">
            <v>1500</v>
          </cell>
          <cell r="N12">
            <v>1500</v>
          </cell>
          <cell r="O12">
            <v>1500</v>
          </cell>
          <cell r="P12">
            <v>1500</v>
          </cell>
          <cell r="Q12">
            <v>1500</v>
          </cell>
          <cell r="R12">
            <v>1500</v>
          </cell>
          <cell r="S12">
            <v>18000</v>
          </cell>
        </row>
        <row r="13">
          <cell r="G13">
            <v>850</v>
          </cell>
          <cell r="H13">
            <v>850</v>
          </cell>
          <cell r="I13">
            <v>850</v>
          </cell>
          <cell r="J13">
            <v>850</v>
          </cell>
          <cell r="K13">
            <v>850</v>
          </cell>
          <cell r="L13">
            <v>850</v>
          </cell>
          <cell r="M13">
            <v>850</v>
          </cell>
          <cell r="N13">
            <v>850</v>
          </cell>
          <cell r="O13">
            <v>850</v>
          </cell>
          <cell r="P13">
            <v>850</v>
          </cell>
          <cell r="Q13">
            <v>850</v>
          </cell>
          <cell r="R13">
            <v>850</v>
          </cell>
          <cell r="S13">
            <v>10200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</row>
        <row r="18">
          <cell r="G18">
            <v>3226.92</v>
          </cell>
          <cell r="H18">
            <v>3226.92</v>
          </cell>
          <cell r="I18">
            <v>3273.52</v>
          </cell>
          <cell r="J18">
            <v>3273.52</v>
          </cell>
          <cell r="K18">
            <v>3273.52</v>
          </cell>
          <cell r="L18">
            <v>3273.52</v>
          </cell>
          <cell r="M18">
            <v>3273.52</v>
          </cell>
          <cell r="N18">
            <v>3273.52</v>
          </cell>
          <cell r="O18">
            <v>3273.52</v>
          </cell>
          <cell r="P18">
            <v>3273.52</v>
          </cell>
          <cell r="Q18">
            <v>3273.52</v>
          </cell>
          <cell r="R18">
            <v>3273.52</v>
          </cell>
          <cell r="S18">
            <v>39189.040000000001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G22">
            <v>6578</v>
          </cell>
          <cell r="H22">
            <v>6578</v>
          </cell>
          <cell r="I22">
            <v>6578</v>
          </cell>
          <cell r="J22">
            <v>6578</v>
          </cell>
          <cell r="K22">
            <v>6578</v>
          </cell>
          <cell r="L22">
            <v>6578</v>
          </cell>
          <cell r="M22">
            <v>6578</v>
          </cell>
          <cell r="N22">
            <v>6578</v>
          </cell>
          <cell r="O22">
            <v>6578</v>
          </cell>
          <cell r="P22">
            <v>6578</v>
          </cell>
          <cell r="Q22">
            <v>6578</v>
          </cell>
          <cell r="R22">
            <v>6578</v>
          </cell>
          <cell r="S22">
            <v>78936</v>
          </cell>
        </row>
        <row r="23">
          <cell r="G23">
            <v>6000</v>
          </cell>
          <cell r="H23">
            <v>14000</v>
          </cell>
          <cell r="I23">
            <v>6000</v>
          </cell>
          <cell r="J23">
            <v>6000</v>
          </cell>
          <cell r="K23">
            <v>6000</v>
          </cell>
          <cell r="L23">
            <v>6000</v>
          </cell>
          <cell r="M23">
            <v>6000</v>
          </cell>
          <cell r="N23">
            <v>6000</v>
          </cell>
          <cell r="O23">
            <v>14000</v>
          </cell>
          <cell r="P23">
            <v>6000</v>
          </cell>
          <cell r="Q23">
            <v>6000</v>
          </cell>
          <cell r="R23">
            <v>6000</v>
          </cell>
          <cell r="S23">
            <v>88000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G34">
            <v>29801.14</v>
          </cell>
          <cell r="H34">
            <v>36877.919999999998</v>
          </cell>
          <cell r="I34">
            <v>42015.71</v>
          </cell>
          <cell r="J34">
            <v>28296.29</v>
          </cell>
          <cell r="K34">
            <v>29674.29</v>
          </cell>
          <cell r="L34">
            <v>39051.270000000004</v>
          </cell>
          <cell r="M34">
            <v>27724.29</v>
          </cell>
          <cell r="N34">
            <v>27724.29</v>
          </cell>
          <cell r="O34">
            <v>51271.130000000005</v>
          </cell>
          <cell r="P34">
            <v>28335.29</v>
          </cell>
          <cell r="Q34">
            <v>27724.29</v>
          </cell>
          <cell r="R34">
            <v>29551.27</v>
          </cell>
          <cell r="S34">
            <v>398047.18000000005</v>
          </cell>
        </row>
        <row r="35">
          <cell r="G35">
            <v>117303.42</v>
          </cell>
          <cell r="H35">
            <v>124380.2</v>
          </cell>
          <cell r="I35">
            <v>131106</v>
          </cell>
          <cell r="J35">
            <v>117386.58000000002</v>
          </cell>
          <cell r="K35">
            <v>118764.58000000002</v>
          </cell>
          <cell r="L35">
            <v>128141.56000000001</v>
          </cell>
          <cell r="M35">
            <v>116814.58000000002</v>
          </cell>
          <cell r="N35">
            <v>116814.58000000002</v>
          </cell>
          <cell r="O35">
            <v>140361.42000000001</v>
          </cell>
          <cell r="P35">
            <v>117425.58000000002</v>
          </cell>
          <cell r="Q35">
            <v>116814.58000000002</v>
          </cell>
          <cell r="R35">
            <v>118641.56000000001</v>
          </cell>
          <cell r="S35">
            <v>1463954.6400000001</v>
          </cell>
        </row>
        <row r="36"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G37">
            <v>5475.768</v>
          </cell>
          <cell r="H37">
            <v>5475.768</v>
          </cell>
          <cell r="I37">
            <v>5475.768</v>
          </cell>
          <cell r="J37">
            <v>5475.768</v>
          </cell>
          <cell r="K37">
            <v>5475.768</v>
          </cell>
          <cell r="L37">
            <v>5475.768</v>
          </cell>
          <cell r="M37">
            <v>5475.768</v>
          </cell>
          <cell r="N37">
            <v>5475.768</v>
          </cell>
          <cell r="O37">
            <v>5475.768</v>
          </cell>
          <cell r="P37">
            <v>5475.768</v>
          </cell>
          <cell r="Q37">
            <v>5475.768</v>
          </cell>
          <cell r="R37">
            <v>5475.768</v>
          </cell>
          <cell r="S37">
            <v>65709.215999999986</v>
          </cell>
        </row>
        <row r="38">
          <cell r="G38">
            <v>122779.18799999999</v>
          </cell>
          <cell r="H38">
            <v>129855.96799999999</v>
          </cell>
          <cell r="I38">
            <v>136581.76800000001</v>
          </cell>
          <cell r="J38">
            <v>122862.34800000001</v>
          </cell>
          <cell r="K38">
            <v>124240.34800000001</v>
          </cell>
          <cell r="L38">
            <v>133617.32800000001</v>
          </cell>
          <cell r="M38">
            <v>122290.34800000001</v>
          </cell>
          <cell r="N38">
            <v>122290.34800000001</v>
          </cell>
          <cell r="O38">
            <v>145837.18800000002</v>
          </cell>
          <cell r="P38">
            <v>122901.34800000001</v>
          </cell>
          <cell r="Q38">
            <v>122290.34800000001</v>
          </cell>
          <cell r="R38">
            <v>124117.32800000001</v>
          </cell>
          <cell r="S38">
            <v>1529663.8560000001</v>
          </cell>
        </row>
        <row r="39"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</sheetData>
      <sheetData sheetId="5"/>
      <sheetData sheetId="6"/>
      <sheetData sheetId="7"/>
      <sheetData sheetId="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파워BI용"/>
      <sheetName val="표지"/>
      <sheetName val="손익총괄"/>
      <sheetName val="레미콘 영업이익"/>
      <sheetName val="사업장별(당월)"/>
      <sheetName val="사업장별(누계)"/>
      <sheetName val="사업장별(당월)_건자재제외"/>
      <sheetName val="사업장별(누계)_건자재제외"/>
      <sheetName val="영업이익"/>
      <sheetName val="공헌이익"/>
      <sheetName val="재료비단가"/>
      <sheetName val="원단위"/>
      <sheetName val="건자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8">
          <cell r="T48">
            <v>86.037624105247886</v>
          </cell>
        </row>
      </sheetData>
      <sheetData sheetId="8"/>
      <sheetData sheetId="9"/>
      <sheetData sheetId="10"/>
      <sheetData sheetId="11"/>
      <sheetData sheetId="12">
        <row r="10">
          <cell r="K10">
            <v>100900</v>
          </cell>
          <cell r="L10">
            <v>84893.854999999996</v>
          </cell>
          <cell r="N10">
            <v>77967.343999999997</v>
          </cell>
        </row>
        <row r="12">
          <cell r="K12">
            <v>88065000</v>
          </cell>
          <cell r="L12">
            <v>65491016.842</v>
          </cell>
          <cell r="N12">
            <v>65195016.577000007</v>
          </cell>
        </row>
        <row r="13">
          <cell r="K13">
            <v>22139908.870400004</v>
          </cell>
          <cell r="L13">
            <v>11406573.164999999</v>
          </cell>
          <cell r="N13">
            <v>12737374.479999997</v>
          </cell>
        </row>
        <row r="15">
          <cell r="K15">
            <v>85951977.5</v>
          </cell>
          <cell r="L15">
            <v>64492631.672999993</v>
          </cell>
          <cell r="N15">
            <v>63813886.884999998</v>
          </cell>
        </row>
        <row r="16">
          <cell r="K16">
            <v>21277404.440535825</v>
          </cell>
          <cell r="L16">
            <v>11098457.655999999</v>
          </cell>
          <cell r="N16">
            <v>12418097.271000002</v>
          </cell>
        </row>
        <row r="24">
          <cell r="K24">
            <v>798636.5900000002</v>
          </cell>
          <cell r="L24">
            <v>859925.48600000003</v>
          </cell>
          <cell r="N24">
            <v>815896.326</v>
          </cell>
        </row>
        <row r="25">
          <cell r="K25">
            <v>361718.24200000003</v>
          </cell>
          <cell r="L25">
            <v>486238.54099999997</v>
          </cell>
          <cell r="N25">
            <v>445012.20499999996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 tint="0.34998626667073579"/>
  </sheetPr>
  <dimension ref="A6:M25"/>
  <sheetViews>
    <sheetView showGridLines="0" view="pageBreakPreview" zoomScale="85" zoomScaleNormal="100" zoomScaleSheetLayoutView="85" workbookViewId="0">
      <selection activeCell="O19" sqref="O19"/>
    </sheetView>
  </sheetViews>
  <sheetFormatPr defaultRowHeight="16.5" x14ac:dyDescent="0.3"/>
  <cols>
    <col min="13" max="13" width="15.75" customWidth="1"/>
  </cols>
  <sheetData>
    <row r="6" spans="1:13" x14ac:dyDescent="0.3">
      <c r="A6" s="581" t="s">
        <v>205</v>
      </c>
      <c r="B6" s="582"/>
      <c r="C6" s="582"/>
      <c r="D6" s="582"/>
      <c r="E6" s="582"/>
      <c r="F6" s="582"/>
      <c r="G6" s="582"/>
      <c r="H6" s="582"/>
      <c r="I6" s="582"/>
      <c r="J6" s="582"/>
      <c r="K6" s="582"/>
      <c r="L6" s="582"/>
      <c r="M6" s="582"/>
    </row>
    <row r="7" spans="1:13" x14ac:dyDescent="0.3">
      <c r="A7" s="582"/>
      <c r="B7" s="582"/>
      <c r="C7" s="582"/>
      <c r="D7" s="582"/>
      <c r="E7" s="582"/>
      <c r="F7" s="582"/>
      <c r="G7" s="582"/>
      <c r="H7" s="582"/>
      <c r="I7" s="582"/>
      <c r="J7" s="582"/>
      <c r="K7" s="582"/>
      <c r="L7" s="582"/>
      <c r="M7" s="582"/>
    </row>
    <row r="8" spans="1:13" x14ac:dyDescent="0.3">
      <c r="A8" s="582"/>
      <c r="B8" s="582"/>
      <c r="C8" s="582"/>
      <c r="D8" s="582"/>
      <c r="E8" s="582"/>
      <c r="F8" s="582"/>
      <c r="G8" s="582"/>
      <c r="H8" s="582"/>
      <c r="I8" s="582"/>
      <c r="J8" s="582"/>
      <c r="K8" s="582"/>
      <c r="L8" s="582"/>
      <c r="M8" s="582"/>
    </row>
    <row r="9" spans="1:13" x14ac:dyDescent="0.3">
      <c r="A9" s="582"/>
      <c r="B9" s="582"/>
      <c r="C9" s="582"/>
      <c r="D9" s="582"/>
      <c r="E9" s="582"/>
      <c r="F9" s="582"/>
      <c r="G9" s="582"/>
      <c r="H9" s="582"/>
      <c r="I9" s="582"/>
      <c r="J9" s="582"/>
      <c r="K9" s="582"/>
      <c r="L9" s="582"/>
      <c r="M9" s="582"/>
    </row>
    <row r="10" spans="1:13" x14ac:dyDescent="0.3">
      <c r="A10" s="582"/>
      <c r="B10" s="582"/>
      <c r="C10" s="582"/>
      <c r="D10" s="582"/>
      <c r="E10" s="582"/>
      <c r="F10" s="582"/>
      <c r="G10" s="582"/>
      <c r="H10" s="582"/>
      <c r="I10" s="582"/>
      <c r="J10" s="582"/>
      <c r="K10" s="582"/>
      <c r="L10" s="582"/>
      <c r="M10" s="582"/>
    </row>
    <row r="11" spans="1:13" x14ac:dyDescent="0.3">
      <c r="A11" s="582"/>
      <c r="B11" s="582"/>
      <c r="C11" s="582"/>
      <c r="D11" s="582"/>
      <c r="E11" s="582"/>
      <c r="F11" s="582"/>
      <c r="G11" s="582"/>
      <c r="H11" s="582"/>
      <c r="I11" s="582"/>
      <c r="J11" s="582"/>
      <c r="K11" s="582"/>
      <c r="L11" s="582"/>
      <c r="M11" s="582"/>
    </row>
    <row r="12" spans="1:13" x14ac:dyDescent="0.3">
      <c r="A12" s="582"/>
      <c r="B12" s="582"/>
      <c r="C12" s="582"/>
      <c r="D12" s="582"/>
      <c r="E12" s="582"/>
      <c r="F12" s="582"/>
      <c r="G12" s="582"/>
      <c r="H12" s="582"/>
      <c r="I12" s="582"/>
      <c r="J12" s="582"/>
      <c r="K12" s="582"/>
      <c r="L12" s="582"/>
      <c r="M12" s="582"/>
    </row>
    <row r="13" spans="1:13" x14ac:dyDescent="0.3">
      <c r="A13" s="582"/>
      <c r="B13" s="582"/>
      <c r="C13" s="582"/>
      <c r="D13" s="582"/>
      <c r="E13" s="582"/>
      <c r="F13" s="582"/>
      <c r="G13" s="582"/>
      <c r="H13" s="582"/>
      <c r="I13" s="582"/>
      <c r="J13" s="582"/>
      <c r="K13" s="582"/>
      <c r="L13" s="582"/>
      <c r="M13" s="582"/>
    </row>
    <row r="14" spans="1:13" x14ac:dyDescent="0.3">
      <c r="A14" s="582"/>
      <c r="B14" s="582"/>
      <c r="C14" s="582"/>
      <c r="D14" s="582"/>
      <c r="E14" s="582"/>
      <c r="F14" s="582"/>
      <c r="G14" s="582"/>
      <c r="H14" s="582"/>
      <c r="I14" s="582"/>
      <c r="J14" s="582"/>
      <c r="K14" s="582"/>
      <c r="L14" s="582"/>
      <c r="M14" s="582"/>
    </row>
    <row r="24" spans="1:13" x14ac:dyDescent="0.3">
      <c r="A24" s="583" t="s">
        <v>99</v>
      </c>
      <c r="B24" s="583"/>
      <c r="C24" s="583"/>
      <c r="D24" s="583"/>
      <c r="E24" s="583"/>
      <c r="F24" s="583"/>
      <c r="G24" s="583"/>
      <c r="H24" s="583"/>
      <c r="I24" s="583"/>
      <c r="J24" s="583"/>
      <c r="K24" s="583"/>
      <c r="L24" s="583"/>
      <c r="M24" s="583"/>
    </row>
    <row r="25" spans="1:13" x14ac:dyDescent="0.3">
      <c r="A25" s="583"/>
      <c r="B25" s="583"/>
      <c r="C25" s="583"/>
      <c r="D25" s="583"/>
      <c r="E25" s="583"/>
      <c r="F25" s="583"/>
      <c r="G25" s="583"/>
      <c r="H25" s="583"/>
      <c r="I25" s="583"/>
      <c r="J25" s="583"/>
      <c r="K25" s="583"/>
      <c r="L25" s="583"/>
      <c r="M25" s="583"/>
    </row>
  </sheetData>
  <mergeCells count="2">
    <mergeCell ref="A6:M14"/>
    <mergeCell ref="A24:M25"/>
  </mergeCells>
  <phoneticPr fontId="1" type="noConversion"/>
  <pageMargins left="0.7" right="0.48" top="0.75" bottom="0.75" header="0.3" footer="0.3"/>
  <pageSetup paperSize="9" scale="99" orientation="landscape" r:id="rId1"/>
  <headerFooter>
    <oddFooter>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 tint="0.34998626667073579"/>
    <pageSetUpPr fitToPage="1"/>
  </sheetPr>
  <dimension ref="A1:AE42"/>
  <sheetViews>
    <sheetView showGridLines="0" zoomScale="70" zoomScaleNormal="70" zoomScaleSheetLayoutView="85" workbookViewId="0">
      <selection activeCell="F30" sqref="F30"/>
    </sheetView>
  </sheetViews>
  <sheetFormatPr defaultRowHeight="16.5" x14ac:dyDescent="0.3"/>
  <cols>
    <col min="3" max="3" width="9.875" customWidth="1"/>
    <col min="4" max="4" width="11" bestFit="1" customWidth="1"/>
    <col min="5" max="14" width="10.625" customWidth="1"/>
    <col min="15" max="16" width="1.625" customWidth="1"/>
    <col min="19" max="19" width="11.5" bestFit="1" customWidth="1"/>
    <col min="20" max="20" width="12.125" bestFit="1" customWidth="1"/>
    <col min="21" max="21" width="10.5" bestFit="1" customWidth="1"/>
    <col min="22" max="22" width="11.375" bestFit="1" customWidth="1"/>
    <col min="23" max="23" width="10.5" bestFit="1" customWidth="1"/>
    <col min="24" max="24" width="1.625" customWidth="1"/>
    <col min="26" max="37" width="9.125" customWidth="1"/>
  </cols>
  <sheetData>
    <row r="1" spans="1:25" ht="20.100000000000001" customHeight="1" x14ac:dyDescent="0.3"/>
    <row r="2" spans="1:25" ht="20.100000000000001" customHeight="1" x14ac:dyDescent="0.3"/>
    <row r="3" spans="1:25" ht="20.100000000000001" customHeight="1" x14ac:dyDescent="0.3">
      <c r="C3" s="4" t="s">
        <v>206</v>
      </c>
    </row>
    <row r="4" spans="1:25" ht="20.100000000000001" customHeight="1" x14ac:dyDescent="0.3">
      <c r="H4" s="235"/>
      <c r="X4" s="5" t="s">
        <v>101</v>
      </c>
    </row>
    <row r="5" spans="1:25" ht="27" customHeight="1" thickBot="1" x14ac:dyDescent="0.35">
      <c r="C5" s="586" t="s">
        <v>61</v>
      </c>
      <c r="D5" s="587"/>
      <c r="E5" s="120" t="s">
        <v>207</v>
      </c>
      <c r="F5" s="121"/>
      <c r="G5" s="121"/>
      <c r="H5" s="121"/>
      <c r="I5" s="122"/>
      <c r="J5" s="121" t="s">
        <v>208</v>
      </c>
      <c r="K5" s="121"/>
      <c r="L5" s="121"/>
      <c r="M5" s="121"/>
      <c r="N5" s="122"/>
      <c r="O5" s="123"/>
      <c r="P5" s="586" t="s">
        <v>209</v>
      </c>
      <c r="Q5" s="587"/>
      <c r="R5" s="587"/>
      <c r="S5" s="587"/>
      <c r="T5" s="587"/>
      <c r="U5" s="587"/>
      <c r="V5" s="587"/>
      <c r="W5" s="587"/>
      <c r="X5" s="590"/>
    </row>
    <row r="6" spans="1:25" ht="27" customHeight="1" thickTop="1" x14ac:dyDescent="0.3">
      <c r="C6" s="588"/>
      <c r="D6" s="589"/>
      <c r="E6" s="171" t="s">
        <v>62</v>
      </c>
      <c r="F6" s="204" t="s">
        <v>63</v>
      </c>
      <c r="G6" s="201" t="s">
        <v>64</v>
      </c>
      <c r="H6" s="124" t="s">
        <v>65</v>
      </c>
      <c r="I6" s="125" t="s">
        <v>66</v>
      </c>
      <c r="J6" s="171" t="s">
        <v>62</v>
      </c>
      <c r="K6" s="204" t="s">
        <v>63</v>
      </c>
      <c r="L6" s="201" t="s">
        <v>64</v>
      </c>
      <c r="M6" s="124" t="s">
        <v>65</v>
      </c>
      <c r="N6" s="125" t="s">
        <v>66</v>
      </c>
      <c r="O6" s="123"/>
      <c r="P6" s="588"/>
      <c r="Q6" s="589"/>
      <c r="R6" s="589"/>
      <c r="S6" s="589"/>
      <c r="T6" s="589"/>
      <c r="U6" s="589"/>
      <c r="V6" s="589"/>
      <c r="W6" s="589"/>
      <c r="X6" s="591"/>
    </row>
    <row r="7" spans="1:25" ht="21.75" customHeight="1" x14ac:dyDescent="0.3">
      <c r="A7" s="235"/>
      <c r="B7" s="235"/>
      <c r="C7" s="88" t="s">
        <v>0</v>
      </c>
      <c r="D7" s="89" t="s">
        <v>40</v>
      </c>
      <c r="E7" s="320">
        <f>+'[1]10월'!$Z$7/1000</f>
        <v>276</v>
      </c>
      <c r="F7" s="321">
        <f>+'[2]10월'!$Z$7/1000</f>
        <v>215.28800000000001</v>
      </c>
      <c r="G7" s="296">
        <f>+F7-E7</f>
        <v>-60.711999999999989</v>
      </c>
      <c r="H7" s="297">
        <f>+'[3]10월'!$Z$7/1000</f>
        <v>296.55700000000002</v>
      </c>
      <c r="I7" s="298">
        <f>+F7-H7</f>
        <v>-81.269000000000005</v>
      </c>
      <c r="J7" s="320">
        <f>+'[1]10월누계'!$Z$7/1000</f>
        <v>2714.5</v>
      </c>
      <c r="K7" s="321">
        <f>+'[2]10월누계'!$Z$7/1000</f>
        <v>2318.6968200000001</v>
      </c>
      <c r="L7" s="296">
        <f t="shared" ref="L7:L36" si="0">+K7-J7</f>
        <v>-395.80317999999988</v>
      </c>
      <c r="M7" s="297">
        <f>+'[3]10월누계'!$Z$7/1000</f>
        <v>2825.2705000000001</v>
      </c>
      <c r="N7" s="298">
        <f t="shared" ref="N7:N36" si="1">+K7-M7</f>
        <v>-506.57367999999997</v>
      </c>
      <c r="O7" s="87"/>
      <c r="P7" s="90"/>
      <c r="Q7" s="91" t="s">
        <v>84</v>
      </c>
      <c r="R7" s="91"/>
      <c r="S7" s="87"/>
      <c r="T7" s="87"/>
      <c r="U7" s="87"/>
      <c r="V7" s="87"/>
      <c r="W7" s="87"/>
      <c r="X7" s="92"/>
      <c r="Y7" s="235"/>
    </row>
    <row r="8" spans="1:25" ht="21.75" customHeight="1" x14ac:dyDescent="0.3">
      <c r="B8" s="235"/>
      <c r="C8" s="88"/>
      <c r="D8" s="93" t="s">
        <v>69</v>
      </c>
      <c r="E8" s="322">
        <f>+'[1]10월'!$AA$7</f>
        <v>11000</v>
      </c>
      <c r="F8" s="323">
        <f>+'[2]10월'!$AO$7</f>
        <v>6655.6190000000006</v>
      </c>
      <c r="G8" s="299">
        <f>+F8-E8</f>
        <v>-4344.3809999999994</v>
      </c>
      <c r="H8" s="300">
        <f>+'[3]10월'!$AO$7</f>
        <v>8972.0079999999998</v>
      </c>
      <c r="I8" s="301">
        <f>+F8-H8</f>
        <v>-2316.3889999999992</v>
      </c>
      <c r="J8" s="322">
        <f>+'[1]10월누계'!$AA$7</f>
        <v>111900</v>
      </c>
      <c r="K8" s="323">
        <f>+'[2]10월누계'!$AO$7</f>
        <v>91549.474000000002</v>
      </c>
      <c r="L8" s="299">
        <f t="shared" si="0"/>
        <v>-20350.525999999998</v>
      </c>
      <c r="M8" s="300">
        <f>+'[3]10월누계'!$AO$7</f>
        <v>86939.351999999999</v>
      </c>
      <c r="N8" s="301">
        <f t="shared" si="1"/>
        <v>4610.122000000003</v>
      </c>
      <c r="O8" s="87"/>
      <c r="P8" s="90"/>
      <c r="Q8" s="215" t="s">
        <v>55</v>
      </c>
      <c r="R8" s="216"/>
      <c r="S8" s="217" t="s">
        <v>12</v>
      </c>
      <c r="T8" s="218" t="s">
        <v>67</v>
      </c>
      <c r="U8" s="219" t="s">
        <v>56</v>
      </c>
      <c r="V8" s="218" t="s">
        <v>39</v>
      </c>
      <c r="W8" s="220" t="s">
        <v>57</v>
      </c>
      <c r="X8" s="92"/>
      <c r="Y8" s="235"/>
    </row>
    <row r="9" spans="1:25" ht="21.75" customHeight="1" x14ac:dyDescent="0.3">
      <c r="B9" s="235"/>
      <c r="C9" s="88"/>
      <c r="D9" s="93" t="s">
        <v>1</v>
      </c>
      <c r="E9" s="322">
        <f>+'[1]10월'!$AE$7/1000</f>
        <v>108.21767736409167</v>
      </c>
      <c r="F9" s="323">
        <f>+'[2]10월'!$AN$7/1000</f>
        <v>66.588999999999999</v>
      </c>
      <c r="G9" s="299">
        <f t="shared" ref="G9:G36" si="2">+F9-E9</f>
        <v>-41.628677364091672</v>
      </c>
      <c r="H9" s="300">
        <f>+'[3]10월'!$AN$7/1000</f>
        <v>60.09</v>
      </c>
      <c r="I9" s="301">
        <f t="shared" ref="I9:I36" si="3">+F9-H9</f>
        <v>6.4989999999999952</v>
      </c>
      <c r="J9" s="322">
        <f>+'[1]10월누계'!$AE$7/1000</f>
        <v>971.46376421753598</v>
      </c>
      <c r="K9" s="323">
        <f>+'[2]10월누계'!$AN$7/1000</f>
        <v>650.03200000000004</v>
      </c>
      <c r="L9" s="299">
        <f t="shared" si="0"/>
        <v>-321.43176421753594</v>
      </c>
      <c r="M9" s="300">
        <f>+'[3]10월누계'!$AN$7/1000</f>
        <v>714.30499999999995</v>
      </c>
      <c r="N9" s="301">
        <f t="shared" si="1"/>
        <v>-64.272999999999911</v>
      </c>
      <c r="O9" s="87"/>
      <c r="P9" s="90"/>
      <c r="Q9" s="94" t="s">
        <v>51</v>
      </c>
      <c r="R9" s="178" t="s">
        <v>16</v>
      </c>
      <c r="S9" s="191">
        <f>+[4]수도권!$T$5/1000</f>
        <v>96</v>
      </c>
      <c r="T9" s="95">
        <f>+[4]수도권!$U$5/1000</f>
        <v>79.021500000000003</v>
      </c>
      <c r="U9" s="296">
        <f>+T9-S9</f>
        <v>-16.978499999999997</v>
      </c>
      <c r="V9" s="297">
        <f>+[5]수도권!$T$5/1000</f>
        <v>103.91</v>
      </c>
      <c r="W9" s="298">
        <f>+T9-V9</f>
        <v>-24.888499999999993</v>
      </c>
      <c r="X9" s="92"/>
      <c r="Y9" s="235"/>
    </row>
    <row r="10" spans="1:25" ht="21.75" customHeight="1" x14ac:dyDescent="0.3">
      <c r="B10" s="235"/>
      <c r="C10" s="96" t="s">
        <v>2</v>
      </c>
      <c r="D10" s="97" t="s">
        <v>40</v>
      </c>
      <c r="E10" s="324">
        <f>+'[1]10월'!$Z$8/1000</f>
        <v>28067.332492481633</v>
      </c>
      <c r="F10" s="325">
        <f>+'[2]10월'!$Z$8/1000</f>
        <v>21143.952057999999</v>
      </c>
      <c r="G10" s="326">
        <f t="shared" si="2"/>
        <v>-6923.3804344816344</v>
      </c>
      <c r="H10" s="327">
        <f>+'[3]10월'!$Z$8/1000</f>
        <v>28528.551527</v>
      </c>
      <c r="I10" s="328">
        <f t="shared" si="3"/>
        <v>-7384.5994690000007</v>
      </c>
      <c r="J10" s="324">
        <f>+'[1]10월누계'!$Z$8/1000</f>
        <v>273817.94645699277</v>
      </c>
      <c r="K10" s="325">
        <f>+'[2]10월누계'!$Z$8/1000</f>
        <v>228002.41368300002</v>
      </c>
      <c r="L10" s="326">
        <f t="shared" si="0"/>
        <v>-45815.532773992745</v>
      </c>
      <c r="M10" s="327">
        <f>+'[3]10월누계'!$Z$8/1000</f>
        <v>284322.860713</v>
      </c>
      <c r="N10" s="328">
        <f t="shared" si="1"/>
        <v>-56320.447029999981</v>
      </c>
      <c r="O10" s="87"/>
      <c r="P10" s="90"/>
      <c r="Q10" s="98"/>
      <c r="R10" s="179" t="s">
        <v>17</v>
      </c>
      <c r="S10" s="192">
        <f>+[4]영남권!$T$5/1000</f>
        <v>126.5</v>
      </c>
      <c r="T10" s="99">
        <f>+[4]영남권!$U$5/1000</f>
        <v>89.744500000000002</v>
      </c>
      <c r="U10" s="299">
        <f t="shared" ref="U10:U20" si="4">+T10-S10</f>
        <v>-36.755499999999998</v>
      </c>
      <c r="V10" s="300">
        <f>+[5]영남권!$T$5/1000</f>
        <v>130.221</v>
      </c>
      <c r="W10" s="301">
        <f t="shared" ref="W10:W20" si="5">+T10-V10</f>
        <v>-40.476500000000001</v>
      </c>
      <c r="X10" s="92"/>
      <c r="Y10" s="235"/>
    </row>
    <row r="11" spans="1:25" ht="21.75" customHeight="1" x14ac:dyDescent="0.3">
      <c r="B11" s="235"/>
      <c r="C11" s="88"/>
      <c r="D11" s="93" t="s">
        <v>3</v>
      </c>
      <c r="E11" s="322">
        <f>+'[1]10월'!$AA$8/1000</f>
        <v>11978.568614399999</v>
      </c>
      <c r="F11" s="323">
        <f>+'[2]10월'!$AO$8/1000</f>
        <v>6923.7764969999998</v>
      </c>
      <c r="G11" s="299">
        <f>+F11-E11</f>
        <v>-5054.7921173999994</v>
      </c>
      <c r="H11" s="300">
        <f>+'[3]10월'!$AO$8/1000</f>
        <v>8678.6852690000014</v>
      </c>
      <c r="I11" s="301">
        <f>+F11-H11</f>
        <v>-1754.9087720000016</v>
      </c>
      <c r="J11" s="322">
        <f>+'[1]10월누계'!$AA$8/1000</f>
        <v>122183.47748479998</v>
      </c>
      <c r="K11" s="323">
        <f>+'[2]10월누계'!$AO$8/1000</f>
        <v>83821.366503999976</v>
      </c>
      <c r="L11" s="299">
        <f t="shared" si="0"/>
        <v>-38362.110980800004</v>
      </c>
      <c r="M11" s="300">
        <f>+'[3]10월누계'!$AO$8/1000</f>
        <v>86611.076326000009</v>
      </c>
      <c r="N11" s="301">
        <f t="shared" si="1"/>
        <v>-2789.7098220000335</v>
      </c>
      <c r="O11" s="87"/>
      <c r="P11" s="90"/>
      <c r="Q11" s="98"/>
      <c r="R11" s="180" t="s">
        <v>106</v>
      </c>
      <c r="S11" s="193">
        <f>+[4]중부권!$T$5/1000</f>
        <v>53.5</v>
      </c>
      <c r="T11" s="100">
        <f>+[4]중부권!$U$5/1000</f>
        <v>46.521999999999998</v>
      </c>
      <c r="U11" s="302">
        <f t="shared" si="4"/>
        <v>-6.9780000000000015</v>
      </c>
      <c r="V11" s="303">
        <f>+[5]중부권!$T$5/1000</f>
        <v>62.426000000000002</v>
      </c>
      <c r="W11" s="304">
        <f t="shared" si="5"/>
        <v>-15.904000000000003</v>
      </c>
      <c r="X11" s="92"/>
      <c r="Y11" s="235"/>
    </row>
    <row r="12" spans="1:25" ht="21.75" customHeight="1" x14ac:dyDescent="0.3">
      <c r="B12" s="235"/>
      <c r="C12" s="88"/>
      <c r="D12" s="93" t="s">
        <v>1</v>
      </c>
      <c r="E12" s="322">
        <f>+'[1]10월'!$AE$8/1000</f>
        <v>1946.6594921865581</v>
      </c>
      <c r="F12" s="323">
        <f>+'[2]10월'!$AN$8/1000</f>
        <v>1260.9058</v>
      </c>
      <c r="G12" s="299">
        <f t="shared" si="2"/>
        <v>-685.75369218655806</v>
      </c>
      <c r="H12" s="300">
        <f>+'[3]10월'!$AN$8/1000</f>
        <v>1245.8185000000001</v>
      </c>
      <c r="I12" s="301">
        <f t="shared" si="3"/>
        <v>15.087299999999914</v>
      </c>
      <c r="J12" s="322">
        <f>+'[1]10월누계'!$AE$8/1000</f>
        <v>17893.214656469972</v>
      </c>
      <c r="K12" s="323">
        <f>+'[2]10월누계'!$AN$8/1000</f>
        <v>13338.194800000001</v>
      </c>
      <c r="L12" s="299">
        <f t="shared" si="0"/>
        <v>-4555.0198564699713</v>
      </c>
      <c r="M12" s="300">
        <f>+'[3]10월누계'!$AN$8/1000</f>
        <v>14375.604080000001</v>
      </c>
      <c r="N12" s="301">
        <f t="shared" si="1"/>
        <v>-1037.4092799999999</v>
      </c>
      <c r="O12" s="87"/>
      <c r="P12" s="90"/>
      <c r="Q12" s="101" t="s">
        <v>58</v>
      </c>
      <c r="R12" s="181"/>
      <c r="S12" s="194">
        <f>SUM(S9:S11)</f>
        <v>276</v>
      </c>
      <c r="T12" s="102">
        <f>SUM(T9:T11)</f>
        <v>215.28800000000001</v>
      </c>
      <c r="U12" s="305">
        <f t="shared" si="4"/>
        <v>-60.711999999999989</v>
      </c>
      <c r="V12" s="306">
        <f>SUM(V9:V11)</f>
        <v>296.55700000000002</v>
      </c>
      <c r="W12" s="307">
        <f t="shared" si="5"/>
        <v>-81.269000000000005</v>
      </c>
      <c r="X12" s="92"/>
    </row>
    <row r="13" spans="1:25" ht="21.75" customHeight="1" x14ac:dyDescent="0.3">
      <c r="B13" s="235"/>
      <c r="C13" s="88"/>
      <c r="D13" s="103" t="s">
        <v>4</v>
      </c>
      <c r="E13" s="329">
        <f>+'[1]10월'!$E$8/1000-E10-E11-E12</f>
        <v>143.02816666666695</v>
      </c>
      <c r="F13" s="330">
        <f>+'[2]10월'!$F$8/1000-F10-F11-F12</f>
        <v>119.27920399999812</v>
      </c>
      <c r="G13" s="302">
        <f t="shared" si="2"/>
        <v>-23.748962666668831</v>
      </c>
      <c r="H13" s="303">
        <f>+'[3]10월'!$F$8/1000-H10-H11-H12</f>
        <v>166.49562099999935</v>
      </c>
      <c r="I13" s="304">
        <f t="shared" si="3"/>
        <v>-47.216417000001229</v>
      </c>
      <c r="J13" s="329">
        <f>+'[1]10월누계'!$E$8/1000-J10-J11-J12</f>
        <v>1499.5016666666124</v>
      </c>
      <c r="K13" s="330">
        <f>+'[2]10월누계'!$F$8/1000-K10-K11-K12</f>
        <v>1305.1644189999752</v>
      </c>
      <c r="L13" s="302">
        <f t="shared" si="0"/>
        <v>-194.33724766663727</v>
      </c>
      <c r="M13" s="303">
        <f>+'[3]10월누계'!$F$8/1000-M10-M11-M12</f>
        <v>1656.3709619999172</v>
      </c>
      <c r="N13" s="304">
        <f t="shared" si="1"/>
        <v>-351.20654299994203</v>
      </c>
      <c r="O13" s="87"/>
      <c r="P13" s="90"/>
      <c r="Q13" s="94" t="s">
        <v>59</v>
      </c>
      <c r="R13" s="178" t="s">
        <v>16</v>
      </c>
      <c r="S13" s="191">
        <f>+[4]수도권!$T$61</f>
        <v>100069.31703271811</v>
      </c>
      <c r="T13" s="95">
        <f>+[4]수도권!$U$61</f>
        <v>94672.854300716004</v>
      </c>
      <c r="U13" s="296">
        <f t="shared" si="4"/>
        <v>-5396.46273200211</v>
      </c>
      <c r="V13" s="297">
        <f>+[5]수도권!$Q$85</f>
        <v>93480.665857137355</v>
      </c>
      <c r="W13" s="298">
        <f t="shared" si="5"/>
        <v>1192.1884435786487</v>
      </c>
      <c r="X13" s="92"/>
    </row>
    <row r="14" spans="1:25" ht="21.75" customHeight="1" x14ac:dyDescent="0.3">
      <c r="A14" s="235"/>
      <c r="B14" s="235"/>
      <c r="C14" s="104" t="s">
        <v>8</v>
      </c>
      <c r="D14" s="105"/>
      <c r="E14" s="329">
        <f>SUM(E10:E13)</f>
        <v>42135.588765734865</v>
      </c>
      <c r="F14" s="330">
        <f>SUM(F10:F13)</f>
        <v>29447.913558999997</v>
      </c>
      <c r="G14" s="302">
        <f t="shared" si="2"/>
        <v>-12687.675206734868</v>
      </c>
      <c r="H14" s="303">
        <f>SUM(H10:H13)</f>
        <v>38619.550917</v>
      </c>
      <c r="I14" s="304">
        <f t="shared" si="3"/>
        <v>-9171.6373580000036</v>
      </c>
      <c r="J14" s="329">
        <f>SUM(J10:J13)</f>
        <v>415394.14026492933</v>
      </c>
      <c r="K14" s="330">
        <f>SUM(K10:K13)</f>
        <v>326467.13940599997</v>
      </c>
      <c r="L14" s="302">
        <f t="shared" si="0"/>
        <v>-88927.000858929357</v>
      </c>
      <c r="M14" s="303">
        <f>SUM(M10:M13)</f>
        <v>386965.91208099993</v>
      </c>
      <c r="N14" s="304">
        <f t="shared" si="1"/>
        <v>-60498.772674999957</v>
      </c>
      <c r="O14" s="87"/>
      <c r="P14" s="90"/>
      <c r="Q14" s="98"/>
      <c r="R14" s="179" t="s">
        <v>17</v>
      </c>
      <c r="S14" s="192">
        <f>+[4]영남권!$T$61</f>
        <v>100505.81333866165</v>
      </c>
      <c r="T14" s="99">
        <f>+[4]영남권!$U$61</f>
        <v>99815.877095532327</v>
      </c>
      <c r="U14" s="299">
        <f t="shared" si="4"/>
        <v>-689.93624312932661</v>
      </c>
      <c r="V14" s="300">
        <f>+[5]영남권!$Q$85</f>
        <v>96016.648996705597</v>
      </c>
      <c r="W14" s="301">
        <f t="shared" si="5"/>
        <v>3799.2280988267303</v>
      </c>
      <c r="X14" s="92"/>
      <c r="Y14" s="235"/>
    </row>
    <row r="15" spans="1:25" ht="21.75" customHeight="1" x14ac:dyDescent="0.3">
      <c r="C15" s="88" t="s">
        <v>5</v>
      </c>
      <c r="D15" s="97" t="s">
        <v>40</v>
      </c>
      <c r="E15" s="324">
        <f>+('[1]10월'!$Z$10+'[1]10월'!$Z$19)/1000</f>
        <v>24415.690905898002</v>
      </c>
      <c r="F15" s="325">
        <f>+('[2]10월'!$Z$10+'[2]10월'!$Z$19)/1000</f>
        <v>19873.590889989999</v>
      </c>
      <c r="G15" s="326">
        <f t="shared" si="2"/>
        <v>-4542.1000159080031</v>
      </c>
      <c r="H15" s="327">
        <f>+('[3]10월'!$Z$10+'[3]10월'!$Z$19)/1000</f>
        <v>25663.485181000004</v>
      </c>
      <c r="I15" s="328">
        <f t="shared" si="3"/>
        <v>-5789.894291010005</v>
      </c>
      <c r="J15" s="324">
        <f>+('[1]10월누계'!$Z$10+'[1]10월누계'!$Z$19)/1000</f>
        <v>241537.28114777314</v>
      </c>
      <c r="K15" s="325">
        <f>+('[2]10월누계'!$Z$10+'[2]10월누계'!$Z$19)/1000</f>
        <v>209907.48762997999</v>
      </c>
      <c r="L15" s="326">
        <f t="shared" si="0"/>
        <v>-31629.79351779315</v>
      </c>
      <c r="M15" s="327">
        <f>+('[3]10월누계'!$Z$10+'[3]10월누계'!$Z$19)/1000</f>
        <v>247168.48245798997</v>
      </c>
      <c r="N15" s="328">
        <f t="shared" si="1"/>
        <v>-37260.994828009978</v>
      </c>
      <c r="O15" s="87"/>
      <c r="P15" s="90"/>
      <c r="Q15" s="98"/>
      <c r="R15" s="180" t="s">
        <v>105</v>
      </c>
      <c r="S15" s="193">
        <f>+[4]중부권!$T$61</f>
        <v>107414.81626168225</v>
      </c>
      <c r="T15" s="100">
        <f>+[4]중부권!$U$61</f>
        <v>101081.35510696511</v>
      </c>
      <c r="U15" s="302">
        <f t="shared" si="4"/>
        <v>-6333.4611547171371</v>
      </c>
      <c r="V15" s="303">
        <f>+[5]중부권!$Q$85</f>
        <v>101095.65574191067</v>
      </c>
      <c r="W15" s="304">
        <f t="shared" si="5"/>
        <v>-14.300634945553611</v>
      </c>
      <c r="X15" s="92"/>
    </row>
    <row r="16" spans="1:25" ht="21.75" customHeight="1" x14ac:dyDescent="0.3">
      <c r="C16" s="88"/>
      <c r="D16" s="93" t="s">
        <v>3</v>
      </c>
      <c r="E16" s="322">
        <f>+('[1]10월'!$AA$10+'[1]10월'!$AA$19)/1000</f>
        <v>11655.60671688882</v>
      </c>
      <c r="F16" s="323">
        <f>+('[2]10월'!$AO$10+'[2]10월'!$AO$19)/1000</f>
        <v>6793.6221620000006</v>
      </c>
      <c r="G16" s="299">
        <f>+F16-E16</f>
        <v>-4861.9845548888197</v>
      </c>
      <c r="H16" s="300">
        <f>+('[3]10월'!$AO$10+'[3]10월'!$AO$19)/1000</f>
        <v>8468.1694929999994</v>
      </c>
      <c r="I16" s="301">
        <f>+F16-H16</f>
        <v>-1674.5473309999988</v>
      </c>
      <c r="J16" s="322">
        <f>+('[1]10월누계'!$AA$10+'[1]10월누계'!$AA$19)/1000</f>
        <v>118884.98865742465</v>
      </c>
      <c r="K16" s="323">
        <f>+('[2]10월누계'!$AO$10+'[2]10월누계'!$AO$19)/1000</f>
        <v>82384.711490999995</v>
      </c>
      <c r="L16" s="299">
        <f t="shared" si="0"/>
        <v>-36500.277166424654</v>
      </c>
      <c r="M16" s="300">
        <f>+('[3]10월누계'!$AO$10+'[3]10월누계'!$AO$19)/1000</f>
        <v>84700.153649</v>
      </c>
      <c r="N16" s="301">
        <f t="shared" si="1"/>
        <v>-2315.4421580000053</v>
      </c>
      <c r="O16" s="87"/>
      <c r="P16" s="90"/>
      <c r="Q16" s="101" t="s">
        <v>58</v>
      </c>
      <c r="R16" s="181"/>
      <c r="S16" s="194">
        <f>+[4]합계!$T$61</f>
        <v>101693.23366841172</v>
      </c>
      <c r="T16" s="102">
        <f>+[4]합계!$U$61</f>
        <v>98207.724138894569</v>
      </c>
      <c r="U16" s="305">
        <f>+T16-S16</f>
        <v>-3485.5095295171486</v>
      </c>
      <c r="V16" s="306">
        <f>+[5]합계!$Q$85</f>
        <v>96197.561428846195</v>
      </c>
      <c r="W16" s="307">
        <f>+T16-V16</f>
        <v>2010.1627100483747</v>
      </c>
      <c r="X16" s="92"/>
    </row>
    <row r="17" spans="2:27" ht="21.75" customHeight="1" x14ac:dyDescent="0.3">
      <c r="C17" s="88"/>
      <c r="D17" s="93" t="s">
        <v>1</v>
      </c>
      <c r="E17" s="322">
        <f>+('[1]10월'!$AE$10+'[1]10월'!$AE$19)/1000</f>
        <v>1690.0132163969713</v>
      </c>
      <c r="F17" s="323">
        <f>+('[2]10월'!$AN$10+'[2]10월'!$AN$19)/1000</f>
        <v>1333.491111</v>
      </c>
      <c r="G17" s="299">
        <f t="shared" si="2"/>
        <v>-356.52210539697126</v>
      </c>
      <c r="H17" s="300">
        <f>+('[3]10월'!$AN$10+'[3]10월'!$AN$19)/1000</f>
        <v>1321.9499900000003</v>
      </c>
      <c r="I17" s="301">
        <f t="shared" si="3"/>
        <v>11.541120999999748</v>
      </c>
      <c r="J17" s="322">
        <f>+('[1]10월누계'!$AE$10+'[1]10월누계'!$AE$19)/1000</f>
        <v>15687.078232438123</v>
      </c>
      <c r="K17" s="323">
        <f>+('[2]10월누계'!$AN$10+'[2]10월누계'!$AN$19)/1000</f>
        <v>13681.212728959999</v>
      </c>
      <c r="L17" s="299">
        <f t="shared" si="0"/>
        <v>-2005.8655034781241</v>
      </c>
      <c r="M17" s="300">
        <f>+('[3]10월누계'!$AN$10+'[3]10월누계'!$AN$19)/1000</f>
        <v>13776.632886999998</v>
      </c>
      <c r="N17" s="301">
        <f t="shared" si="1"/>
        <v>-95.420158039998569</v>
      </c>
      <c r="O17" s="87"/>
      <c r="P17" s="90"/>
      <c r="Q17" s="173" t="s">
        <v>60</v>
      </c>
      <c r="R17" s="182" t="s">
        <v>16</v>
      </c>
      <c r="S17" s="195">
        <f>+[4]수도권!$Q$90</f>
        <v>18749.347009615783</v>
      </c>
      <c r="T17" s="106">
        <f>+[4]수도권!$R$90</f>
        <v>13808.454519516294</v>
      </c>
      <c r="U17" s="308">
        <f t="shared" si="4"/>
        <v>-4940.8924900994898</v>
      </c>
      <c r="V17" s="309">
        <f>+[5]수도권!$Q$90</f>
        <v>12984.216425509934</v>
      </c>
      <c r="W17" s="310">
        <f t="shared" si="5"/>
        <v>824.23809400635946</v>
      </c>
      <c r="X17" s="92"/>
    </row>
    <row r="18" spans="2:27" ht="21.75" customHeight="1" x14ac:dyDescent="0.3">
      <c r="C18" s="88"/>
      <c r="D18" s="103" t="s">
        <v>4</v>
      </c>
      <c r="E18" s="329">
        <f>+('[1]10월'!$E$10+'[1]10월'!$E$19)/1000-E15-E16-E17</f>
        <v>68.375598999994281</v>
      </c>
      <c r="F18" s="330">
        <f>+('[2]10월'!$F$10+'[2]10월'!$F$19)/1000-F15-F16-F17</f>
        <v>-477.91892000000166</v>
      </c>
      <c r="G18" s="302">
        <f t="shared" si="2"/>
        <v>-546.29451899999594</v>
      </c>
      <c r="H18" s="303">
        <f>+('[3]10월'!$F$10+'[3]10월'!$F$19)/1000-H15-H16-H17</f>
        <v>-220.72586899999919</v>
      </c>
      <c r="I18" s="304">
        <f t="shared" si="3"/>
        <v>-257.19305100000247</v>
      </c>
      <c r="J18" s="329">
        <f>+('[1]10월누계'!$E$10+'[1]10월누계'!$E$19)/1000-J15-J16-J17</f>
        <v>609.62375999992037</v>
      </c>
      <c r="K18" s="330">
        <f>+('[2]10월누계'!$F$10+'[2]10월누계'!$F$19)/1000-K15-K16-K17</f>
        <v>-18.518017999969743</v>
      </c>
      <c r="L18" s="302">
        <f t="shared" si="0"/>
        <v>-628.14177799989011</v>
      </c>
      <c r="M18" s="303">
        <f>+('[3]10월누계'!$F$10+'[3]10월누계'!$F$19)/1000-M15-M16-M17</f>
        <v>-329.81755799997882</v>
      </c>
      <c r="N18" s="304">
        <f t="shared" si="1"/>
        <v>311.29954000000907</v>
      </c>
      <c r="O18" s="87"/>
      <c r="P18" s="90"/>
      <c r="Q18" s="174"/>
      <c r="R18" s="183" t="s">
        <v>17</v>
      </c>
      <c r="S18" s="196">
        <f>+[4]영남권!$Q$90</f>
        <v>21578.580831118641</v>
      </c>
      <c r="T18" s="107">
        <f>+[4]영남권!$R$90</f>
        <v>18101.069143055676</v>
      </c>
      <c r="U18" s="311">
        <f t="shared" si="4"/>
        <v>-3477.5116880629648</v>
      </c>
      <c r="V18" s="312">
        <f>+[5]영남권!$Q$90</f>
        <v>17824.890686245082</v>
      </c>
      <c r="W18" s="313">
        <f t="shared" si="5"/>
        <v>276.17845681059407</v>
      </c>
      <c r="X18" s="92"/>
    </row>
    <row r="19" spans="2:27" ht="21.75" customHeight="1" x14ac:dyDescent="0.3">
      <c r="C19" s="88" t="s">
        <v>8</v>
      </c>
      <c r="D19" s="108"/>
      <c r="E19" s="322">
        <f>SUM(E15:E18)</f>
        <v>37829.68643818378</v>
      </c>
      <c r="F19" s="323">
        <f>SUM(F15:F18)</f>
        <v>27522.785242989998</v>
      </c>
      <c r="G19" s="299">
        <f t="shared" si="2"/>
        <v>-10306.901195193783</v>
      </c>
      <c r="H19" s="300">
        <f>SUM(H15:H18)</f>
        <v>35232.878795000004</v>
      </c>
      <c r="I19" s="301">
        <f t="shared" si="3"/>
        <v>-7710.0935520100065</v>
      </c>
      <c r="J19" s="322">
        <f>SUM(J15:J18)</f>
        <v>376718.97179763584</v>
      </c>
      <c r="K19" s="323">
        <f>SUM(K15:K18)</f>
        <v>305954.89383194002</v>
      </c>
      <c r="L19" s="299">
        <f t="shared" si="0"/>
        <v>-70764.077965695818</v>
      </c>
      <c r="M19" s="300">
        <f>SUM(M15:M18)</f>
        <v>345315.45143598999</v>
      </c>
      <c r="N19" s="301">
        <f t="shared" si="1"/>
        <v>-39360.557604049973</v>
      </c>
      <c r="O19" s="87"/>
      <c r="P19" s="90"/>
      <c r="Q19" s="174"/>
      <c r="R19" s="184" t="s">
        <v>105</v>
      </c>
      <c r="S19" s="197">
        <f>+[4]중부권!$Q$90</f>
        <v>29714.673326925826</v>
      </c>
      <c r="T19" s="109">
        <f>+[4]중부권!$R$90</f>
        <v>21131.107887192702</v>
      </c>
      <c r="U19" s="314">
        <f t="shared" si="4"/>
        <v>-8583.5654397331236</v>
      </c>
      <c r="V19" s="315">
        <f>+[5]중부권!$Q$90</f>
        <v>25702.17889665447</v>
      </c>
      <c r="W19" s="316">
        <f t="shared" si="5"/>
        <v>-4571.071009461768</v>
      </c>
      <c r="X19" s="92"/>
    </row>
    <row r="20" spans="2:27" ht="21.75" customHeight="1" x14ac:dyDescent="0.3">
      <c r="C20" s="96" t="s">
        <v>15</v>
      </c>
      <c r="D20" s="97" t="s">
        <v>40</v>
      </c>
      <c r="E20" s="324">
        <f t="shared" ref="E20:F23" si="6">+E10-E15</f>
        <v>3651.6415865836316</v>
      </c>
      <c r="F20" s="325">
        <f t="shared" si="6"/>
        <v>1270.3611680100003</v>
      </c>
      <c r="G20" s="326">
        <f t="shared" si="2"/>
        <v>-2381.2804185736313</v>
      </c>
      <c r="H20" s="327">
        <f>+H10-H15</f>
        <v>2865.066345999996</v>
      </c>
      <c r="I20" s="328">
        <f t="shared" si="3"/>
        <v>-1594.7051779899957</v>
      </c>
      <c r="J20" s="324">
        <f t="shared" ref="J20:K23" si="7">+J10-J15</f>
        <v>32280.665309219621</v>
      </c>
      <c r="K20" s="325">
        <f t="shared" si="7"/>
        <v>18094.926053020026</v>
      </c>
      <c r="L20" s="326">
        <f t="shared" si="0"/>
        <v>-14185.739256199595</v>
      </c>
      <c r="M20" s="327">
        <f>+M10-M15</f>
        <v>37154.37825501003</v>
      </c>
      <c r="N20" s="328">
        <f t="shared" si="1"/>
        <v>-19059.452201990003</v>
      </c>
      <c r="O20" s="87"/>
      <c r="P20" s="90"/>
      <c r="Q20" s="175" t="s">
        <v>58</v>
      </c>
      <c r="R20" s="185"/>
      <c r="S20" s="198">
        <f>+[4]합계!$Q$90</f>
        <v>22171.60438786287</v>
      </c>
      <c r="T20" s="110">
        <f>+[4]합계!$R$90</f>
        <v>17185.69484263756</v>
      </c>
      <c r="U20" s="317">
        <f t="shared" si="4"/>
        <v>-4985.9095452253096</v>
      </c>
      <c r="V20" s="318">
        <f>+[5]합계!$Q$90</f>
        <v>17786.110748025996</v>
      </c>
      <c r="W20" s="319">
        <f t="shared" si="5"/>
        <v>-600.41590538843593</v>
      </c>
      <c r="X20" s="92"/>
    </row>
    <row r="21" spans="2:27" ht="21.75" customHeight="1" x14ac:dyDescent="0.3">
      <c r="C21" s="88"/>
      <c r="D21" s="93" t="s">
        <v>3</v>
      </c>
      <c r="E21" s="322">
        <f t="shared" si="6"/>
        <v>322.9618975111789</v>
      </c>
      <c r="F21" s="323">
        <f t="shared" si="6"/>
        <v>130.15433499999926</v>
      </c>
      <c r="G21" s="299">
        <f>+F21-E21</f>
        <v>-192.80756251117964</v>
      </c>
      <c r="H21" s="300">
        <f>+H11-H16</f>
        <v>210.51577600000201</v>
      </c>
      <c r="I21" s="301">
        <f>+F21-H21</f>
        <v>-80.361441000002742</v>
      </c>
      <c r="J21" s="322">
        <f t="shared" si="7"/>
        <v>3298.4888273753313</v>
      </c>
      <c r="K21" s="323">
        <f t="shared" si="7"/>
        <v>1436.6550129999814</v>
      </c>
      <c r="L21" s="299">
        <f t="shared" si="0"/>
        <v>-1861.8338143753499</v>
      </c>
      <c r="M21" s="300">
        <f>+M11-M16</f>
        <v>1910.9226770000096</v>
      </c>
      <c r="N21" s="301">
        <f t="shared" si="1"/>
        <v>-474.26766400002816</v>
      </c>
      <c r="O21" s="87"/>
      <c r="P21" s="90"/>
      <c r="Q21" s="144" t="s">
        <v>85</v>
      </c>
      <c r="R21" s="145"/>
      <c r="S21" s="146"/>
      <c r="T21" s="152"/>
      <c r="U21" s="146"/>
      <c r="X21" s="92"/>
    </row>
    <row r="22" spans="2:27" ht="21.75" customHeight="1" x14ac:dyDescent="0.3">
      <c r="C22" s="88"/>
      <c r="D22" s="93" t="s">
        <v>1</v>
      </c>
      <c r="E22" s="322">
        <f t="shared" si="6"/>
        <v>256.64627578958675</v>
      </c>
      <c r="F22" s="323">
        <f t="shared" si="6"/>
        <v>-72.585311000000047</v>
      </c>
      <c r="G22" s="299">
        <f t="shared" si="2"/>
        <v>-329.2315867895868</v>
      </c>
      <c r="H22" s="300">
        <f>+H12-H17</f>
        <v>-76.131490000000213</v>
      </c>
      <c r="I22" s="301">
        <f t="shared" si="3"/>
        <v>3.5461790000001656</v>
      </c>
      <c r="J22" s="322">
        <f t="shared" si="7"/>
        <v>2206.1364240318489</v>
      </c>
      <c r="K22" s="323">
        <f t="shared" si="7"/>
        <v>-343.01792895999824</v>
      </c>
      <c r="L22" s="299">
        <f t="shared" si="0"/>
        <v>-2549.1543529918472</v>
      </c>
      <c r="M22" s="300">
        <f>+M12-M17</f>
        <v>598.97119300000304</v>
      </c>
      <c r="N22" s="301">
        <f t="shared" si="1"/>
        <v>-941.98912196000128</v>
      </c>
      <c r="O22" s="87"/>
      <c r="P22" s="90"/>
      <c r="Q22" s="221" t="s">
        <v>11</v>
      </c>
      <c r="R22" s="222"/>
      <c r="S22" s="223" t="s">
        <v>12</v>
      </c>
      <c r="T22" s="224" t="s">
        <v>13</v>
      </c>
      <c r="U22" s="225" t="s">
        <v>92</v>
      </c>
      <c r="V22" s="224" t="s">
        <v>14</v>
      </c>
      <c r="W22" s="226" t="s">
        <v>93</v>
      </c>
      <c r="X22" s="92"/>
    </row>
    <row r="23" spans="2:27" ht="21.75" customHeight="1" x14ac:dyDescent="0.3">
      <c r="C23" s="88"/>
      <c r="D23" s="103" t="s">
        <v>4</v>
      </c>
      <c r="E23" s="329">
        <f t="shared" si="6"/>
        <v>74.652567666672667</v>
      </c>
      <c r="F23" s="330">
        <f t="shared" si="6"/>
        <v>597.19812399999978</v>
      </c>
      <c r="G23" s="302">
        <f t="shared" si="2"/>
        <v>522.54555633332711</v>
      </c>
      <c r="H23" s="303">
        <f>+H13-H18</f>
        <v>387.22148999999854</v>
      </c>
      <c r="I23" s="304">
        <f t="shared" si="3"/>
        <v>209.97663400000124</v>
      </c>
      <c r="J23" s="329">
        <f t="shared" si="7"/>
        <v>889.87790666669207</v>
      </c>
      <c r="K23" s="330">
        <f t="shared" si="7"/>
        <v>1323.6824369999449</v>
      </c>
      <c r="L23" s="302">
        <f t="shared" si="0"/>
        <v>433.80453033325284</v>
      </c>
      <c r="M23" s="303">
        <f>+M13-M18</f>
        <v>1986.188519999896</v>
      </c>
      <c r="N23" s="304">
        <f t="shared" si="1"/>
        <v>-662.5060829999511</v>
      </c>
      <c r="O23" s="87"/>
      <c r="P23" s="90"/>
      <c r="Q23" s="147" t="s">
        <v>86</v>
      </c>
      <c r="R23" s="148"/>
      <c r="S23" s="207">
        <f>+'[6]10월'!$F$10</f>
        <v>872727.27272727271</v>
      </c>
      <c r="T23" s="213">
        <f>+'[6]10월'!$G$10</f>
        <v>809127.48025390261</v>
      </c>
      <c r="U23" s="210">
        <f>+T23-S23</f>
        <v>-63599.792473370093</v>
      </c>
      <c r="V23" s="189">
        <f>+'[7]10월'!$G$10</f>
        <v>818946.47731031897</v>
      </c>
      <c r="W23" s="186">
        <f>+T23-V23</f>
        <v>-9818.9970564163523</v>
      </c>
      <c r="X23" s="92"/>
    </row>
    <row r="24" spans="2:27" ht="21.75" customHeight="1" x14ac:dyDescent="0.3">
      <c r="C24" s="104" t="s">
        <v>8</v>
      </c>
      <c r="D24" s="105"/>
      <c r="E24" s="329">
        <f>SUM(E20:E23)</f>
        <v>4305.9023275510699</v>
      </c>
      <c r="F24" s="330">
        <f>SUM(F20:F23)</f>
        <v>1925.1283160099993</v>
      </c>
      <c r="G24" s="302">
        <f t="shared" si="2"/>
        <v>-2380.7740115410706</v>
      </c>
      <c r="H24" s="303">
        <f>SUM(H20:H23)</f>
        <v>3386.6721219999963</v>
      </c>
      <c r="I24" s="304">
        <f t="shared" si="3"/>
        <v>-1461.5438059899971</v>
      </c>
      <c r="J24" s="329">
        <f>SUM(J20:J23)</f>
        <v>38675.168467293493</v>
      </c>
      <c r="K24" s="330">
        <f>SUM(K20:K23)</f>
        <v>20512.245574059954</v>
      </c>
      <c r="L24" s="302">
        <f t="shared" si="0"/>
        <v>-18162.922893233539</v>
      </c>
      <c r="M24" s="303">
        <f>SUM(M20:M23)</f>
        <v>41650.460645009938</v>
      </c>
      <c r="N24" s="304">
        <f t="shared" si="1"/>
        <v>-21138.215070949984</v>
      </c>
      <c r="O24" s="87"/>
      <c r="P24" s="90"/>
      <c r="Q24" s="149" t="s">
        <v>87</v>
      </c>
      <c r="R24" s="150"/>
      <c r="S24" s="208">
        <f>+'[6]10월'!$F$15</f>
        <v>2.3989583333333335E-2</v>
      </c>
      <c r="T24" s="214">
        <f>+'[6]10월'!$G$15</f>
        <v>1.5942637755550233E-2</v>
      </c>
      <c r="U24" s="211">
        <f>+T24-S24</f>
        <v>-8.0469455777831024E-3</v>
      </c>
      <c r="V24" s="190">
        <f>+'[6]10월'!$G$15</f>
        <v>1.5942637755550233E-2</v>
      </c>
      <c r="W24" s="187">
        <f>+T24-V24</f>
        <v>0</v>
      </c>
      <c r="X24" s="92"/>
    </row>
    <row r="25" spans="2:27" ht="21.75" customHeight="1" x14ac:dyDescent="0.3">
      <c r="C25" s="96" t="s">
        <v>6</v>
      </c>
      <c r="D25" s="97" t="s">
        <v>40</v>
      </c>
      <c r="E25" s="324">
        <f>+('[1]10월'!$Z$13+'[1]10월'!$Z$20)/1000</f>
        <v>659.01074300000005</v>
      </c>
      <c r="F25" s="325">
        <f>+('[2]10월'!$Z$13+'[2]10월'!$Z$20)/1000</f>
        <v>718.50202299999989</v>
      </c>
      <c r="G25" s="326">
        <f t="shared" si="2"/>
        <v>59.491279999999847</v>
      </c>
      <c r="H25" s="327">
        <f>+('[3]10월'!$Z$13+'[3]10월'!$Z$20)/1000</f>
        <v>723.79491199999984</v>
      </c>
      <c r="I25" s="328">
        <f t="shared" si="3"/>
        <v>-5.2928889999999456</v>
      </c>
      <c r="J25" s="324">
        <f>+('[1]10월누계'!$Z$13+'[1]10월누계'!$Z$20)/1000</f>
        <v>6750.288442</v>
      </c>
      <c r="K25" s="325">
        <f>+('[2]10월누계'!$Z$13+'[2]10월누계'!$Z$20)/1000</f>
        <v>6902.593312</v>
      </c>
      <c r="L25" s="326">
        <f t="shared" si="0"/>
        <v>152.30486999999994</v>
      </c>
      <c r="M25" s="327">
        <f>+('[3]10월누계'!$Z$13+'[3]10월누계'!$Z$20)/1000</f>
        <v>6881.2415190000011</v>
      </c>
      <c r="N25" s="328">
        <f t="shared" si="1"/>
        <v>21.351792999998906</v>
      </c>
      <c r="O25" s="87"/>
      <c r="P25" s="90"/>
      <c r="Q25" s="144" t="s">
        <v>88</v>
      </c>
      <c r="R25" s="151"/>
      <c r="S25" s="71"/>
      <c r="T25" s="152"/>
      <c r="U25" s="71"/>
      <c r="X25" s="92"/>
    </row>
    <row r="26" spans="2:27" ht="21.75" customHeight="1" x14ac:dyDescent="0.3">
      <c r="C26" s="88"/>
      <c r="D26" s="93" t="s">
        <v>68</v>
      </c>
      <c r="E26" s="322">
        <f>+('[1]10월'!$AA$13+'[1]10월'!$AA$20)/1000</f>
        <v>122.90134800000001</v>
      </c>
      <c r="F26" s="323">
        <f>+('[2]10월'!$AO$13+'[2]10월'!$AO$20)/1000</f>
        <v>167.24112</v>
      </c>
      <c r="G26" s="299">
        <f>+F26-E26</f>
        <v>44.339771999999982</v>
      </c>
      <c r="H26" s="300">
        <f>+('[3]10월'!$AO$13+'[3]10월'!$AO$20)/1000</f>
        <v>166.51044700000003</v>
      </c>
      <c r="I26" s="301">
        <f>+F26-H26</f>
        <v>0.73067299999996749</v>
      </c>
      <c r="J26" s="322">
        <f>+('[1]10월누계'!$AA$13+'[1]10월누계'!$AA$20)/1000</f>
        <v>1283.2561800000001</v>
      </c>
      <c r="K26" s="323">
        <f>+('[2]10월누계'!$AO$13+'[2]10월누계'!$AO$20)/1000</f>
        <v>1513.4051470000002</v>
      </c>
      <c r="L26" s="299">
        <f t="shared" si="0"/>
        <v>230.14896700000008</v>
      </c>
      <c r="M26" s="300">
        <f>+('[3]10월누계'!$AO$13+'[3]10월누계'!$AO$20)/1000</f>
        <v>1427.4189780000002</v>
      </c>
      <c r="N26" s="301">
        <f t="shared" si="1"/>
        <v>85.986169000000018</v>
      </c>
      <c r="O26" s="87"/>
      <c r="P26" s="90"/>
      <c r="Q26" s="221" t="s">
        <v>11</v>
      </c>
      <c r="R26" s="222"/>
      <c r="S26" s="223" t="s">
        <v>12</v>
      </c>
      <c r="T26" s="224" t="s">
        <v>13</v>
      </c>
      <c r="U26" s="225" t="s">
        <v>92</v>
      </c>
      <c r="V26" s="224" t="s">
        <v>14</v>
      </c>
      <c r="W26" s="226" t="s">
        <v>93</v>
      </c>
      <c r="X26" s="92"/>
    </row>
    <row r="27" spans="2:27" ht="21.75" customHeight="1" x14ac:dyDescent="0.3">
      <c r="C27" s="88"/>
      <c r="D27" s="93" t="s">
        <v>1</v>
      </c>
      <c r="E27" s="322">
        <f>+('[1]10월'!$AE$13+'[1]10월'!$AE$20+'[1]10월'!$AE$22)/1000</f>
        <v>46.829551157110217</v>
      </c>
      <c r="F27" s="323">
        <f>+('[2]10월'!$AN$13+'[2]10월'!$AN$20+'[2]10월'!$AN$22)/1000</f>
        <v>50.038114264568947</v>
      </c>
      <c r="G27" s="299">
        <f t="shared" si="2"/>
        <v>3.2085631074587297</v>
      </c>
      <c r="H27" s="300">
        <f>+('[3]10월'!$AN$13+'[3]10월'!$AN$20+'[3]10월'!$AN$22)/1000</f>
        <v>73.82636109639995</v>
      </c>
      <c r="I27" s="301">
        <f t="shared" si="3"/>
        <v>-23.788246831831003</v>
      </c>
      <c r="J27" s="322">
        <f>+('[1]10월누계'!$AE$13+'[1]10월누계'!$AE$20+'[1]10월누계'!$AE$22)/1000</f>
        <v>481.96069726085977</v>
      </c>
      <c r="K27" s="323">
        <f>+('[2]10월누계'!$AN$13+'[2]10월누계'!$AN$20+'[2]10월누계'!$AN$22)/1000</f>
        <v>483.5151156498676</v>
      </c>
      <c r="L27" s="299">
        <f t="shared" si="0"/>
        <v>1.5544183890078216</v>
      </c>
      <c r="M27" s="300">
        <f>+('[3]10월누계'!$AN$13+'[3]10월누계'!$AN$20+'[3]10월누계'!$AN$22)/1000</f>
        <v>602.96644573735261</v>
      </c>
      <c r="N27" s="301">
        <f t="shared" si="1"/>
        <v>-119.45133008748502</v>
      </c>
      <c r="O27" s="87"/>
      <c r="P27" s="90"/>
      <c r="Q27" s="1" t="s">
        <v>89</v>
      </c>
      <c r="R27" s="176" t="s">
        <v>90</v>
      </c>
      <c r="S27" s="207">
        <f>+[8]원가손익!$W$10+[9]원가손익!$W$13+[10]손익!$F$10</f>
        <v>56217.677364091665</v>
      </c>
      <c r="T27" s="213">
        <f>+[8]원가손익!$X$10+[9]원가손익!$X$13+[10]손익!$G$10</f>
        <v>43690</v>
      </c>
      <c r="U27" s="210">
        <f>+T27-S27</f>
        <v>-12527.677364091665</v>
      </c>
      <c r="V27" s="189">
        <f>+'[11]부산모래장(당월)'!$S$85</f>
        <v>38555</v>
      </c>
      <c r="W27" s="186">
        <f>+T27-V27</f>
        <v>5135</v>
      </c>
      <c r="X27" s="92"/>
    </row>
    <row r="28" spans="2:27" ht="21.75" customHeight="1" x14ac:dyDescent="0.3">
      <c r="B28" s="85"/>
      <c r="C28" s="88"/>
      <c r="D28" s="103" t="s">
        <v>4</v>
      </c>
      <c r="E28" s="329">
        <f>+('[1]10월'!$E$13+'[1]10월'!$E$20)/1000-E25-E26-E27+('[1]10월'!$E$22/1000)</f>
        <v>1452.1673222814582</v>
      </c>
      <c r="F28" s="330">
        <f>+('[2]10월'!$F$13+'[2]10월'!$F$20)/1000-F25-F26-F27+'[2]10월'!$F$22/1000</f>
        <v>1426.93498273872</v>
      </c>
      <c r="G28" s="302">
        <f t="shared" si="2"/>
        <v>-25.232339542738146</v>
      </c>
      <c r="H28" s="303">
        <f>+('[3]10월'!$F$13+'[3]10월'!$F$20)/1000-H25-H26-H27+'[3]10월'!$F$22/1000</f>
        <v>1248.3047819009244</v>
      </c>
      <c r="I28" s="304">
        <f t="shared" si="3"/>
        <v>178.63020083779566</v>
      </c>
      <c r="J28" s="329">
        <f>+('[1]10월누계'!$E$13+'[1]10월누계'!$E$20)/1000-J25-J26-J27+('[1]10월누계'!$E$22/1000)</f>
        <v>15975.674190392661</v>
      </c>
      <c r="K28" s="330">
        <f>+('[2]10월누계'!$F$13+'[2]10월누계'!$F$20)/1000-K25-K26-K27+'[2]10월누계'!$F$22/1000</f>
        <v>17760.445738353843</v>
      </c>
      <c r="L28" s="302">
        <f t="shared" si="0"/>
        <v>1784.7715479611816</v>
      </c>
      <c r="M28" s="303">
        <f>+('[3]10월누계'!$F$13+'[3]10월누계'!$F$20)/1000-M25-M26-M27+'[3]10월누계'!$F$22/1000</f>
        <v>15191.732931258406</v>
      </c>
      <c r="N28" s="304">
        <f t="shared" si="1"/>
        <v>2568.7128070954368</v>
      </c>
      <c r="O28" s="87"/>
      <c r="P28" s="90"/>
      <c r="Q28" s="2"/>
      <c r="R28" s="177" t="s">
        <v>91</v>
      </c>
      <c r="S28" s="209">
        <f>+[8]원가손익!$W$14+[9]원가손익!$W$15+[10]손익!$F$12</f>
        <v>52000</v>
      </c>
      <c r="T28" s="141">
        <f>+[8]원가손익!$X$14+[9]원가손익!$X$15+[10]손익!$G$12</f>
        <v>22899</v>
      </c>
      <c r="U28" s="212">
        <f>+T28-S28</f>
        <v>-29101</v>
      </c>
      <c r="V28" s="70">
        <f>+'[11]부산모래장(당월)'!$S$86</f>
        <v>21535</v>
      </c>
      <c r="W28" s="188">
        <f>+T28-V28</f>
        <v>1364</v>
      </c>
      <c r="X28" s="92"/>
    </row>
    <row r="29" spans="2:27" ht="21.75" customHeight="1" x14ac:dyDescent="0.3">
      <c r="C29" s="104" t="s">
        <v>8</v>
      </c>
      <c r="D29" s="105"/>
      <c r="E29" s="329">
        <f>SUM(E25:E28)</f>
        <v>2280.9089644385685</v>
      </c>
      <c r="F29" s="330">
        <f>SUM(F25:F28)</f>
        <v>2362.7162400032889</v>
      </c>
      <c r="G29" s="302">
        <f t="shared" si="2"/>
        <v>81.807275564720385</v>
      </c>
      <c r="H29" s="303">
        <f>SUM(H25:H28)</f>
        <v>2212.4365019973243</v>
      </c>
      <c r="I29" s="304">
        <f t="shared" si="3"/>
        <v>150.27973800596465</v>
      </c>
      <c r="J29" s="329">
        <f>SUM(J25:J28)</f>
        <v>24491.179509653521</v>
      </c>
      <c r="K29" s="330">
        <f>SUM(K25:K28)</f>
        <v>26659.95931300371</v>
      </c>
      <c r="L29" s="302">
        <f t="shared" si="0"/>
        <v>2168.7798033501895</v>
      </c>
      <c r="M29" s="303">
        <f>SUM(M25:M28)</f>
        <v>24103.35987399576</v>
      </c>
      <c r="N29" s="304">
        <f t="shared" si="1"/>
        <v>2556.5994390079504</v>
      </c>
      <c r="O29" s="87"/>
      <c r="P29" s="90"/>
      <c r="Q29" s="592" t="s">
        <v>100</v>
      </c>
      <c r="R29" s="593"/>
      <c r="S29" s="209">
        <f>SUM(S27:S28)</f>
        <v>108217.67736409167</v>
      </c>
      <c r="T29" s="141">
        <f>SUM(T27:T28)</f>
        <v>66589</v>
      </c>
      <c r="U29" s="212">
        <f>+T29-S29</f>
        <v>-41628.677364091665</v>
      </c>
      <c r="V29" s="70">
        <f>SUM(V27:V28)</f>
        <v>60090</v>
      </c>
      <c r="W29" s="188">
        <f>+T29-V29</f>
        <v>6499</v>
      </c>
      <c r="X29" s="92"/>
    </row>
    <row r="30" spans="2:27" ht="21.75" customHeight="1" x14ac:dyDescent="0.3">
      <c r="B30" s="235"/>
      <c r="C30" s="88" t="s">
        <v>7</v>
      </c>
      <c r="D30" s="97" t="s">
        <v>40</v>
      </c>
      <c r="E30" s="324">
        <f>+E20-E25</f>
        <v>2992.6308435836318</v>
      </c>
      <c r="F30" s="331">
        <f>+F20-F25</f>
        <v>551.85914501000036</v>
      </c>
      <c r="G30" s="326">
        <f t="shared" si="2"/>
        <v>-2440.7716985736315</v>
      </c>
      <c r="H30" s="327">
        <f>+H20-H25</f>
        <v>2141.2714339999961</v>
      </c>
      <c r="I30" s="328">
        <f t="shared" si="3"/>
        <v>-1589.4122889899959</v>
      </c>
      <c r="J30" s="324">
        <f>+J20-J25</f>
        <v>25530.37686721962</v>
      </c>
      <c r="K30" s="331">
        <f>+K20-K25</f>
        <v>11192.332741020025</v>
      </c>
      <c r="L30" s="326">
        <f t="shared" si="0"/>
        <v>-14338.044126199595</v>
      </c>
      <c r="M30" s="327">
        <f>+M20-M25</f>
        <v>30273.136736010027</v>
      </c>
      <c r="N30" s="328">
        <f t="shared" si="1"/>
        <v>-19080.803994990001</v>
      </c>
      <c r="O30" s="87"/>
      <c r="P30" s="90"/>
      <c r="Q30" s="144" t="s">
        <v>113</v>
      </c>
      <c r="X30" s="92"/>
      <c r="Z30" s="235"/>
      <c r="AA30" s="235"/>
    </row>
    <row r="31" spans="2:27" ht="21.75" customHeight="1" x14ac:dyDescent="0.3">
      <c r="B31" s="235"/>
      <c r="C31" s="88"/>
      <c r="D31" s="111" t="s">
        <v>10</v>
      </c>
      <c r="E31" s="199">
        <f>+E30/E10</f>
        <v>0.10662327260295451</v>
      </c>
      <c r="F31" s="205">
        <f>+F30/F10</f>
        <v>2.6100094414525484E-2</v>
      </c>
      <c r="G31" s="202">
        <f t="shared" si="2"/>
        <v>-8.0523178188429023E-2</v>
      </c>
      <c r="H31" s="112">
        <f>+H30/H10</f>
        <v>7.5057138178692792E-2</v>
      </c>
      <c r="I31" s="113">
        <f t="shared" si="3"/>
        <v>-4.8957043764167305E-2</v>
      </c>
      <c r="J31" s="199">
        <f>+J30/J10</f>
        <v>9.3238508277358481E-2</v>
      </c>
      <c r="K31" s="205">
        <f>+K30/K10</f>
        <v>4.9088659019992348E-2</v>
      </c>
      <c r="L31" s="202">
        <f t="shared" si="0"/>
        <v>-4.4149849257366133E-2</v>
      </c>
      <c r="M31" s="112">
        <f>+M30/M10</f>
        <v>0.10647450810003002</v>
      </c>
      <c r="N31" s="113">
        <f t="shared" si="1"/>
        <v>-5.7385849080037674E-2</v>
      </c>
      <c r="O31" s="87"/>
      <c r="P31" s="90"/>
      <c r="Q31" s="221" t="s">
        <v>11</v>
      </c>
      <c r="R31" s="222"/>
      <c r="S31" s="223" t="s">
        <v>12</v>
      </c>
      <c r="T31" s="224" t="s">
        <v>13</v>
      </c>
      <c r="U31" s="225" t="s">
        <v>92</v>
      </c>
      <c r="V31" s="224" t="s">
        <v>14</v>
      </c>
      <c r="W31" s="226" t="s">
        <v>93</v>
      </c>
      <c r="X31" s="92"/>
    </row>
    <row r="32" spans="2:27" ht="21.75" customHeight="1" x14ac:dyDescent="0.3">
      <c r="B32" s="235"/>
      <c r="C32" s="88"/>
      <c r="D32" s="93" t="s">
        <v>3</v>
      </c>
      <c r="E32" s="322">
        <f t="shared" ref="E32:F34" si="8">+E21-E26</f>
        <v>200.06054951117889</v>
      </c>
      <c r="F32" s="323">
        <f t="shared" si="8"/>
        <v>-37.086785000000731</v>
      </c>
      <c r="G32" s="299">
        <f>+F32-E32</f>
        <v>-237.14733451117962</v>
      </c>
      <c r="H32" s="300">
        <f>+H21-H26</f>
        <v>44.005329000001979</v>
      </c>
      <c r="I32" s="301">
        <f>+F32-H32</f>
        <v>-81.092114000002709</v>
      </c>
      <c r="J32" s="322">
        <f t="shared" ref="J32:K34" si="9">+J21-J26</f>
        <v>2015.2326473753312</v>
      </c>
      <c r="K32" s="323">
        <f t="shared" si="9"/>
        <v>-76.750134000018761</v>
      </c>
      <c r="L32" s="299">
        <f t="shared" si="0"/>
        <v>-2091.98278137535</v>
      </c>
      <c r="M32" s="300">
        <f>+M21-M26</f>
        <v>483.50369900000942</v>
      </c>
      <c r="N32" s="301">
        <f t="shared" si="1"/>
        <v>-560.25383300002818</v>
      </c>
      <c r="O32" s="87"/>
      <c r="P32" s="90"/>
      <c r="Q32" s="594" t="s">
        <v>104</v>
      </c>
      <c r="R32" s="595"/>
      <c r="S32" s="240">
        <f>+'사업장별(당월)'!T33</f>
        <v>48.278887666666662</v>
      </c>
      <c r="T32" s="241">
        <f>+'사업장별(당월)'!U33</f>
        <v>23.592101</v>
      </c>
      <c r="U32" s="242">
        <f>+T32-S32</f>
        <v>-24.686786666666663</v>
      </c>
      <c r="V32" s="243">
        <f>+'사업장별(당월)'!W33</f>
        <v>71.167959999999994</v>
      </c>
      <c r="W32" s="244">
        <f>+T32-V32</f>
        <v>-47.575858999999994</v>
      </c>
      <c r="X32" s="92"/>
      <c r="Z32" s="235"/>
      <c r="AA32" s="235"/>
    </row>
    <row r="33" spans="2:31" ht="21.75" customHeight="1" x14ac:dyDescent="0.3">
      <c r="B33" s="235"/>
      <c r="C33" s="88"/>
      <c r="D33" s="93" t="s">
        <v>1</v>
      </c>
      <c r="E33" s="322">
        <f t="shared" si="8"/>
        <v>209.81672463247654</v>
      </c>
      <c r="F33" s="323">
        <f t="shared" si="8"/>
        <v>-122.62342526456899</v>
      </c>
      <c r="G33" s="299">
        <f t="shared" si="2"/>
        <v>-332.44014989704556</v>
      </c>
      <c r="H33" s="300">
        <f>+H22-H27</f>
        <v>-149.95785109640016</v>
      </c>
      <c r="I33" s="301">
        <f t="shared" si="3"/>
        <v>27.334425831831169</v>
      </c>
      <c r="J33" s="322">
        <f t="shared" si="9"/>
        <v>1724.1757267709891</v>
      </c>
      <c r="K33" s="323">
        <f t="shared" si="9"/>
        <v>-826.53304460986578</v>
      </c>
      <c r="L33" s="299">
        <f t="shared" si="0"/>
        <v>-2550.7087713808551</v>
      </c>
      <c r="M33" s="300">
        <f>+M22-M27</f>
        <v>-3.9952527373495741</v>
      </c>
      <c r="N33" s="301">
        <f t="shared" si="1"/>
        <v>-822.53779187251621</v>
      </c>
      <c r="O33" s="87"/>
      <c r="P33" s="90"/>
      <c r="Q33" s="596" t="s">
        <v>44</v>
      </c>
      <c r="R33" s="597"/>
      <c r="S33" s="169">
        <f>+'사업장별(당월)'!T34</f>
        <v>64.441000000000003</v>
      </c>
      <c r="T33" s="250">
        <f>+'사업장별(당월)'!U34</f>
        <v>66.994834999999995</v>
      </c>
      <c r="U33" s="170">
        <f>+T33-S33</f>
        <v>2.5538349999999923</v>
      </c>
      <c r="V33" s="251">
        <f>+'사업장별(당월)'!W34</f>
        <v>63.70566500000001</v>
      </c>
      <c r="W33" s="172">
        <f>+T33-V33</f>
        <v>3.2891699999999844</v>
      </c>
      <c r="X33" s="92"/>
      <c r="Z33" s="235"/>
      <c r="AA33" s="235"/>
    </row>
    <row r="34" spans="2:31" ht="21.75" customHeight="1" x14ac:dyDescent="0.3">
      <c r="B34" s="235"/>
      <c r="C34" s="88"/>
      <c r="D34" s="103" t="s">
        <v>4</v>
      </c>
      <c r="E34" s="329">
        <f t="shared" si="8"/>
        <v>-1377.5147546147855</v>
      </c>
      <c r="F34" s="330">
        <f t="shared" si="8"/>
        <v>-829.73685873872023</v>
      </c>
      <c r="G34" s="302">
        <f t="shared" si="2"/>
        <v>547.77789587606526</v>
      </c>
      <c r="H34" s="303">
        <f>+H23-H28</f>
        <v>-861.08329190092581</v>
      </c>
      <c r="I34" s="304">
        <f t="shared" si="3"/>
        <v>31.346433162205585</v>
      </c>
      <c r="J34" s="329">
        <f t="shared" si="9"/>
        <v>-15085.796283725969</v>
      </c>
      <c r="K34" s="330">
        <f t="shared" si="9"/>
        <v>-16436.763301353898</v>
      </c>
      <c r="L34" s="302">
        <f t="shared" si="0"/>
        <v>-1350.9670176279287</v>
      </c>
      <c r="M34" s="303">
        <f>+M23-M28</f>
        <v>-13205.54441125851</v>
      </c>
      <c r="N34" s="304">
        <f t="shared" si="1"/>
        <v>-3231.2188900953879</v>
      </c>
      <c r="O34" s="87"/>
      <c r="P34" s="90"/>
      <c r="Q34" s="262" t="s">
        <v>29</v>
      </c>
      <c r="R34" s="263"/>
      <c r="S34" s="257">
        <f>+'사업장별(당월)'!T35</f>
        <v>-1372.552771281458</v>
      </c>
      <c r="T34" s="258">
        <f>+'사업장별(당월)'!U35</f>
        <v>-1374.3193157387198</v>
      </c>
      <c r="U34" s="259">
        <f>+T34-S34</f>
        <v>-1.7665444572617162</v>
      </c>
      <c r="V34" s="260">
        <f>+'사업장별(당월)'!W35</f>
        <v>-1196.5785099009242</v>
      </c>
      <c r="W34" s="261">
        <f>+T34-V34</f>
        <v>-177.74080583779551</v>
      </c>
      <c r="X34" s="92"/>
      <c r="Z34" s="235"/>
      <c r="AA34" s="235"/>
    </row>
    <row r="35" spans="2:31" ht="21.75" customHeight="1" x14ac:dyDescent="0.3">
      <c r="B35" s="235"/>
      <c r="C35" s="88" t="s">
        <v>8</v>
      </c>
      <c r="D35" s="108"/>
      <c r="E35" s="322">
        <f>SUM(E30,E32:E34)</f>
        <v>2024.9933631125018</v>
      </c>
      <c r="F35" s="332">
        <f>SUM(F30,F32:F34)</f>
        <v>-437.58792399328962</v>
      </c>
      <c r="G35" s="299">
        <f t="shared" si="2"/>
        <v>-2462.5812871057915</v>
      </c>
      <c r="H35" s="300">
        <f>SUM(H30,H32:H34)</f>
        <v>1174.235620002672</v>
      </c>
      <c r="I35" s="301">
        <f t="shared" si="3"/>
        <v>-1611.8235439959617</v>
      </c>
      <c r="J35" s="322">
        <f>SUM(J30,J32:J34)</f>
        <v>14183.988957639973</v>
      </c>
      <c r="K35" s="332">
        <f>SUM(K30,K32:K34)</f>
        <v>-6147.7137389437557</v>
      </c>
      <c r="L35" s="299">
        <f t="shared" si="0"/>
        <v>-20331.702696583729</v>
      </c>
      <c r="M35" s="300">
        <f>SUM(M30,M32:M34)</f>
        <v>17547.100771014175</v>
      </c>
      <c r="N35" s="301">
        <f t="shared" si="1"/>
        <v>-23694.814509957931</v>
      </c>
      <c r="O35" s="87"/>
      <c r="P35" s="90"/>
      <c r="Q35" s="264" t="s">
        <v>103</v>
      </c>
      <c r="R35" s="265"/>
      <c r="S35" s="252">
        <f>+S36-S32-S33-S34</f>
        <v>-117.681870999995</v>
      </c>
      <c r="T35" s="253">
        <f>+T36-T32-T33-T34</f>
        <v>453.99552100000017</v>
      </c>
      <c r="U35" s="254">
        <f>+T35-S35</f>
        <v>571.67739199999517</v>
      </c>
      <c r="V35" s="255">
        <f>+V36-V32-V33-V34</f>
        <v>200.62159300000167</v>
      </c>
      <c r="W35" s="256">
        <f>+T35-V35</f>
        <v>253.3739279999985</v>
      </c>
      <c r="X35" s="92"/>
      <c r="Z35" s="235"/>
      <c r="AA35" s="235"/>
      <c r="AD35" s="86"/>
      <c r="AE35" s="235"/>
    </row>
    <row r="36" spans="2:31" ht="21.75" customHeight="1" thickBot="1" x14ac:dyDescent="0.35">
      <c r="C36" s="114"/>
      <c r="D36" s="115" t="s">
        <v>9</v>
      </c>
      <c r="E36" s="200">
        <f>+E35/E14</f>
        <v>4.8058978702565307E-2</v>
      </c>
      <c r="F36" s="206">
        <f>+F35/F14</f>
        <v>-1.4859725906100811E-2</v>
      </c>
      <c r="G36" s="203">
        <f t="shared" si="2"/>
        <v>-6.2918704608666123E-2</v>
      </c>
      <c r="H36" s="116">
        <f>+H35/H14</f>
        <v>3.0405211664068923E-2</v>
      </c>
      <c r="I36" s="117">
        <f t="shared" si="3"/>
        <v>-4.5264937570169736E-2</v>
      </c>
      <c r="J36" s="200">
        <f>+J35/J14</f>
        <v>3.414585710957245E-2</v>
      </c>
      <c r="K36" s="206">
        <f>+K35/K14</f>
        <v>-1.8831033806738989E-2</v>
      </c>
      <c r="L36" s="203">
        <f t="shared" si="0"/>
        <v>-5.2976890916311442E-2</v>
      </c>
      <c r="M36" s="116">
        <f>+M35/M14</f>
        <v>4.5345339791431565E-2</v>
      </c>
      <c r="N36" s="117">
        <f t="shared" si="1"/>
        <v>-6.417637359817055E-2</v>
      </c>
      <c r="O36" s="87"/>
      <c r="P36" s="118"/>
      <c r="Q36" s="584" t="s">
        <v>102</v>
      </c>
      <c r="R36" s="585"/>
      <c r="S36" s="245">
        <f>+'사업장별(당월)'!T41</f>
        <v>-1377.5147546147864</v>
      </c>
      <c r="T36" s="246">
        <f>+'사업장별(당월)'!U41</f>
        <v>-829.73685873871966</v>
      </c>
      <c r="U36" s="247">
        <f>+T36-S36</f>
        <v>547.77789587606674</v>
      </c>
      <c r="V36" s="248">
        <f>+'사업장별(당월)'!W41</f>
        <v>-861.08329190092263</v>
      </c>
      <c r="W36" s="249">
        <f>+T36-V36</f>
        <v>31.34643316220297</v>
      </c>
      <c r="X36" s="119"/>
      <c r="AA36" s="235"/>
    </row>
    <row r="37" spans="2:31" ht="20.100000000000001" customHeight="1" thickTop="1" x14ac:dyDescent="0.3">
      <c r="F37" s="235"/>
    </row>
    <row r="38" spans="2:31" x14ac:dyDescent="0.3">
      <c r="E38" s="86">
        <f>+'[1]10월'!$E$26/1000</f>
        <v>2024.9933631125023</v>
      </c>
      <c r="F38" s="227">
        <f>+'[2]10월'!$F$26/1000</f>
        <v>-437.58792399328945</v>
      </c>
      <c r="H38" s="227">
        <f>+'[3]10월'!$F$26/1000</f>
        <v>1174.2356200026786</v>
      </c>
      <c r="J38" s="237">
        <f>+'[1]10월누계'!$E$26/1000</f>
        <v>14183.988957639955</v>
      </c>
      <c r="K38" s="237">
        <f>+'[2]10월누계'!$F$26/1000</f>
        <v>-6147.7137389437366</v>
      </c>
      <c r="L38" s="238"/>
      <c r="M38" s="237">
        <f>+'[3]10월누계'!$F$26/1000</f>
        <v>17547.100771014197</v>
      </c>
      <c r="N38" s="238"/>
      <c r="O38" s="238"/>
    </row>
    <row r="39" spans="2:31" x14ac:dyDescent="0.3">
      <c r="E39" t="b">
        <f>+E35=E38</f>
        <v>1</v>
      </c>
      <c r="F39" t="b">
        <f>+F35=F38</f>
        <v>0</v>
      </c>
      <c r="H39" t="b">
        <f>+H35=H38</f>
        <v>0</v>
      </c>
      <c r="J39" t="b">
        <f>+J35=J38</f>
        <v>1</v>
      </c>
      <c r="K39" t="b">
        <f>+K35=K38</f>
        <v>0</v>
      </c>
      <c r="M39" t="b">
        <f>+M35=M38</f>
        <v>1</v>
      </c>
    </row>
    <row r="40" spans="2:31" x14ac:dyDescent="0.3">
      <c r="E40" s="239">
        <f>+E35-E38</f>
        <v>0</v>
      </c>
      <c r="F40" s="239">
        <f>+F35-F38</f>
        <v>0</v>
      </c>
      <c r="G40" s="236"/>
      <c r="H40" s="239">
        <f>+H35-H38</f>
        <v>-6.5938365878537297E-12</v>
      </c>
      <c r="I40" s="236"/>
      <c r="J40" s="239">
        <f>+J35-J38</f>
        <v>1.8189894035458565E-11</v>
      </c>
      <c r="K40" s="239">
        <f>+K35-K38</f>
        <v>-1.9099388737231493E-11</v>
      </c>
      <c r="L40" s="236"/>
      <c r="M40" s="239">
        <f>+M35-M38</f>
        <v>0</v>
      </c>
      <c r="N40" s="236"/>
      <c r="O40" s="86"/>
      <c r="P40" s="86"/>
    </row>
    <row r="42" spans="2:31" x14ac:dyDescent="0.3">
      <c r="E42" s="85"/>
      <c r="F42" s="85"/>
      <c r="G42" s="85"/>
    </row>
  </sheetData>
  <mergeCells count="6">
    <mergeCell ref="Q36:R36"/>
    <mergeCell ref="C5:D6"/>
    <mergeCell ref="P5:X6"/>
    <mergeCell ref="Q29:R29"/>
    <mergeCell ref="Q32:R32"/>
    <mergeCell ref="Q33:R33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2EEB-C23D-41DE-BA19-19AA9A3A8795}">
  <sheetPr>
    <tabColor theme="1" tint="0.34998626667073579"/>
    <pageSetUpPr fitToPage="1"/>
  </sheetPr>
  <dimension ref="A1:AF28"/>
  <sheetViews>
    <sheetView showGridLines="0" showZeros="0" topLeftCell="E1" zoomScale="85" zoomScaleNormal="85" zoomScaleSheetLayoutView="85" workbookViewId="0">
      <selection activeCell="M14" sqref="M14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29" width="8.625" customWidth="1"/>
    <col min="30" max="30" width="9.25" bestFit="1" customWidth="1"/>
    <col min="31" max="31" width="8.25" customWidth="1"/>
    <col min="32" max="32" width="12" bestFit="1" customWidth="1"/>
    <col min="33" max="33" width="13.25" bestFit="1" customWidth="1"/>
    <col min="34" max="35" width="9.875" bestFit="1" customWidth="1"/>
  </cols>
  <sheetData>
    <row r="1" spans="1:32" ht="18" customHeight="1" x14ac:dyDescent="0.3">
      <c r="H1" s="4"/>
      <c r="K1" s="6"/>
      <c r="L1" s="6"/>
      <c r="P1" s="6"/>
      <c r="Q1" s="6"/>
    </row>
    <row r="2" spans="1:32" ht="18" customHeight="1" x14ac:dyDescent="0.3">
      <c r="H2" s="7"/>
    </row>
    <row r="3" spans="1:32" ht="26.25" x14ac:dyDescent="0.3">
      <c r="H3" s="4" t="s">
        <v>210</v>
      </c>
    </row>
    <row r="4" spans="1:32" ht="18" customHeight="1" x14ac:dyDescent="0.3">
      <c r="H4" s="7"/>
    </row>
    <row r="5" spans="1:32" ht="18" customHeight="1" x14ac:dyDescent="0.3">
      <c r="H5" s="598" t="s">
        <v>11</v>
      </c>
      <c r="I5" s="599"/>
      <c r="J5" s="577" t="s">
        <v>207</v>
      </c>
      <c r="K5" s="578"/>
      <c r="L5" s="578"/>
      <c r="M5" s="578"/>
      <c r="N5" s="578"/>
      <c r="O5" s="578"/>
      <c r="P5" s="578"/>
      <c r="Q5" s="578"/>
      <c r="R5" s="578"/>
      <c r="S5" s="579"/>
      <c r="T5" s="577" t="s">
        <v>211</v>
      </c>
      <c r="U5" s="578"/>
      <c r="V5" s="578"/>
      <c r="W5" s="578"/>
      <c r="X5" s="578"/>
      <c r="Y5" s="578"/>
      <c r="Z5" s="578"/>
      <c r="AA5" s="578"/>
      <c r="AB5" s="578"/>
      <c r="AC5" s="579"/>
    </row>
    <row r="6" spans="1:32" s="8" customFormat="1" ht="19.5" customHeight="1" x14ac:dyDescent="0.3">
      <c r="G6" s="334"/>
      <c r="H6" s="598"/>
      <c r="I6" s="599"/>
      <c r="J6" s="158" t="s">
        <v>98</v>
      </c>
      <c r="K6" s="159"/>
      <c r="L6" s="159"/>
      <c r="M6" s="159"/>
      <c r="N6" s="160"/>
      <c r="O6" s="158" t="s">
        <v>203</v>
      </c>
      <c r="P6" s="159"/>
      <c r="Q6" s="159"/>
      <c r="R6" s="159"/>
      <c r="S6" s="160"/>
      <c r="T6" s="158" t="s">
        <v>98</v>
      </c>
      <c r="U6" s="159"/>
      <c r="V6" s="159"/>
      <c r="W6" s="159"/>
      <c r="X6" s="160"/>
      <c r="Y6" s="158" t="s">
        <v>98</v>
      </c>
      <c r="Z6" s="159"/>
      <c r="AA6" s="159"/>
      <c r="AB6" s="159"/>
      <c r="AC6" s="160"/>
    </row>
    <row r="7" spans="1:32" s="8" customFormat="1" ht="19.5" customHeight="1" x14ac:dyDescent="0.3">
      <c r="A7" s="8" t="s">
        <v>212</v>
      </c>
      <c r="G7" s="334"/>
      <c r="H7" s="600"/>
      <c r="I7" s="601"/>
      <c r="J7" s="161" t="s">
        <v>12</v>
      </c>
      <c r="K7" s="162" t="s">
        <v>13</v>
      </c>
      <c r="L7" s="163" t="s">
        <v>28</v>
      </c>
      <c r="M7" s="162" t="s">
        <v>14</v>
      </c>
      <c r="N7" s="164" t="s">
        <v>28</v>
      </c>
      <c r="O7" s="161" t="s">
        <v>12</v>
      </c>
      <c r="P7" s="162" t="s">
        <v>13</v>
      </c>
      <c r="Q7" s="163" t="s">
        <v>28</v>
      </c>
      <c r="R7" s="162" t="s">
        <v>14</v>
      </c>
      <c r="S7" s="164" t="s">
        <v>28</v>
      </c>
      <c r="T7" s="161" t="s">
        <v>12</v>
      </c>
      <c r="U7" s="162" t="s">
        <v>13</v>
      </c>
      <c r="V7" s="163" t="s">
        <v>28</v>
      </c>
      <c r="W7" s="162" t="s">
        <v>14</v>
      </c>
      <c r="X7" s="164" t="s">
        <v>28</v>
      </c>
      <c r="Y7" s="161" t="s">
        <v>12</v>
      </c>
      <c r="Z7" s="162" t="s">
        <v>13</v>
      </c>
      <c r="AA7" s="163" t="s">
        <v>28</v>
      </c>
      <c r="AB7" s="162" t="s">
        <v>14</v>
      </c>
      <c r="AC7" s="164" t="s">
        <v>28</v>
      </c>
    </row>
    <row r="8" spans="1:32" s="8" customFormat="1" ht="22.5" customHeight="1" x14ac:dyDescent="0.3">
      <c r="B8" s="8" t="s">
        <v>18</v>
      </c>
      <c r="G8" s="335"/>
      <c r="H8" s="72" t="s">
        <v>40</v>
      </c>
      <c r="I8" s="73" t="s">
        <v>18</v>
      </c>
      <c r="J8" s="35">
        <f>+[4]안양!$H$86/1000</f>
        <v>415.60971081550616</v>
      </c>
      <c r="K8" s="36">
        <f>+[4]안양!$I$86/1000</f>
        <v>233.33185899999987</v>
      </c>
      <c r="L8" s="40">
        <f>+K8-J8</f>
        <v>-182.2778518155063</v>
      </c>
      <c r="M8" s="41">
        <f>+[5]안양!$H$86/1000</f>
        <v>151.42127199999197</v>
      </c>
      <c r="N8" s="39">
        <f>+K8-M8</f>
        <v>81.910587000007894</v>
      </c>
      <c r="O8" s="35">
        <f>+[4]안양!$H$92/1000</f>
        <v>241.20643888942791</v>
      </c>
      <c r="P8" s="36">
        <f>+[4]안양!$I$92/1000</f>
        <v>54.09781127594804</v>
      </c>
      <c r="Q8" s="40">
        <f>+P8-O8</f>
        <v>-187.10862761347988</v>
      </c>
      <c r="R8" s="41">
        <f>+[5]안양!$H$92/1000</f>
        <v>-2.8503993726428889</v>
      </c>
      <c r="S8" s="39">
        <f>+P8-R8</f>
        <v>56.94821064859093</v>
      </c>
      <c r="T8" s="35">
        <f>+[12]안양!$H$86/1000</f>
        <v>3527.0401015674315</v>
      </c>
      <c r="U8" s="36">
        <f>+[12]안양!$I$86/1000</f>
        <v>2176.8926209999936</v>
      </c>
      <c r="V8" s="40">
        <f>+U8-T8</f>
        <v>-1350.1474805674379</v>
      </c>
      <c r="W8" s="41">
        <f>+[13]안양!$H$86/1000</f>
        <v>3495.1511919999834</v>
      </c>
      <c r="X8" s="39">
        <f>+U8-W8</f>
        <v>-1318.2585709999898</v>
      </c>
      <c r="Y8" s="35">
        <f>+[12]안양!$H$92/1000</f>
        <v>1425.5417918371479</v>
      </c>
      <c r="Z8" s="36">
        <f>+[12]안양!$I$92/1000</f>
        <v>130.18958905818988</v>
      </c>
      <c r="AA8" s="40">
        <f>+Z8-Y8</f>
        <v>-1295.3522027789581</v>
      </c>
      <c r="AB8" s="41">
        <f>+[13]안양!$H$92/1000</f>
        <v>1667.0724793563354</v>
      </c>
      <c r="AC8" s="39">
        <f>+Z8-AB8</f>
        <v>-1536.8828902981454</v>
      </c>
    </row>
    <row r="9" spans="1:32" s="8" customFormat="1" ht="22.5" customHeight="1" x14ac:dyDescent="0.3">
      <c r="B9" s="8" t="s">
        <v>19</v>
      </c>
      <c r="G9" s="336"/>
      <c r="H9" s="74" t="s">
        <v>41</v>
      </c>
      <c r="I9" s="75" t="s">
        <v>19</v>
      </c>
      <c r="J9" s="45">
        <f>+[4]인천!$H$86/1000</f>
        <v>237.49323523752415</v>
      </c>
      <c r="K9" s="46">
        <f>+[4]인천!$I$86/1000</f>
        <v>-104.18711198999978</v>
      </c>
      <c r="L9" s="47">
        <f t="shared" ref="L9:L28" si="0">+K9-J9</f>
        <v>-341.68034722752395</v>
      </c>
      <c r="M9" s="48">
        <f>+[5]인천!$H$86/1000</f>
        <v>63.89365999999972</v>
      </c>
      <c r="N9" s="49">
        <f t="shared" ref="N9:N28" si="1">+K9-M9</f>
        <v>-168.0807719899995</v>
      </c>
      <c r="O9" s="45">
        <f>+[4]인천!$H$92/1000</f>
        <v>105.58774317608814</v>
      </c>
      <c r="P9" s="46">
        <f>+[4]인천!$I$92/1000</f>
        <v>-258.70731855052742</v>
      </c>
      <c r="Q9" s="47">
        <f t="shared" ref="Q9:Q28" si="2">+P9-O9</f>
        <v>-364.29506172661559</v>
      </c>
      <c r="R9" s="48">
        <f>+[5]인천!$H$92/1000</f>
        <v>-43.296750818870912</v>
      </c>
      <c r="S9" s="49">
        <f t="shared" ref="S9:S28" si="3">+P9-R9</f>
        <v>-215.4105677316565</v>
      </c>
      <c r="T9" s="45">
        <f>+[12]인천!$H$86/1000</f>
        <v>1485.5092152212428</v>
      </c>
      <c r="U9" s="46">
        <f>+[12]인천!$I$86/1000</f>
        <v>144.14425901999516</v>
      </c>
      <c r="V9" s="47">
        <f t="shared" ref="V9:V24" si="4">+U9-T9</f>
        <v>-1341.3649562012477</v>
      </c>
      <c r="W9" s="48">
        <f>+[13]인천!$H$86/1000</f>
        <v>1662.3616650100016</v>
      </c>
      <c r="X9" s="49">
        <f t="shared" ref="X9:X24" si="5">+U9-W9</f>
        <v>-1518.2174059900065</v>
      </c>
      <c r="Y9" s="45">
        <f>+[12]인천!$H$92/1000</f>
        <v>-37.271587858310205</v>
      </c>
      <c r="Z9" s="46">
        <f>+[12]인천!$I$92/1000</f>
        <v>-1569.5083528905157</v>
      </c>
      <c r="AA9" s="47">
        <f t="shared" ref="AA9:AA24" si="6">+Z9-Y9</f>
        <v>-1532.2367650322055</v>
      </c>
      <c r="AB9" s="48">
        <f>+[13]인천!$H$92/1000</f>
        <v>345.22382528781799</v>
      </c>
      <c r="AC9" s="49">
        <f t="shared" ref="AC9:AC24" si="7">+Z9-AB9</f>
        <v>-1914.7321781783337</v>
      </c>
    </row>
    <row r="10" spans="1:32" s="8" customFormat="1" ht="22.5" customHeight="1" x14ac:dyDescent="0.3">
      <c r="B10" s="8" t="s">
        <v>20</v>
      </c>
      <c r="G10" s="336"/>
      <c r="H10" s="74"/>
      <c r="I10" s="75" t="s">
        <v>20</v>
      </c>
      <c r="J10" s="45">
        <f>+[4]파주!$H$86/1000</f>
        <v>90.273885440254929</v>
      </c>
      <c r="K10" s="46">
        <f>+[4]파주!$I$86/1000</f>
        <v>-62.289172000000107</v>
      </c>
      <c r="L10" s="47">
        <f t="shared" si="0"/>
        <v>-152.56305744025502</v>
      </c>
      <c r="M10" s="48">
        <f>+[5]파주!$H$86/1000</f>
        <v>73.44867799999983</v>
      </c>
      <c r="N10" s="49">
        <f t="shared" si="1"/>
        <v>-135.73784999999992</v>
      </c>
      <c r="O10" s="45">
        <f>+[4]파주!$H$92/1000</f>
        <v>-8.6466814542235522</v>
      </c>
      <c r="P10" s="46">
        <f>+[4]파주!$I$92/1000</f>
        <v>-143.41219085338656</v>
      </c>
      <c r="Q10" s="47">
        <f t="shared" si="2"/>
        <v>-134.76550939916302</v>
      </c>
      <c r="R10" s="48">
        <f>+[5]파주!$H$92/1000</f>
        <v>-23.888845429942144</v>
      </c>
      <c r="S10" s="49">
        <f t="shared" si="3"/>
        <v>-119.52334542344443</v>
      </c>
      <c r="T10" s="45">
        <f>+[12]파주!$H$86/1000</f>
        <v>1015.1016651480494</v>
      </c>
      <c r="U10" s="46">
        <f>+[12]파주!$I$86/1000</f>
        <v>-405.52211199999863</v>
      </c>
      <c r="V10" s="47">
        <f t="shared" si="4"/>
        <v>-1420.623777148048</v>
      </c>
      <c r="W10" s="48">
        <f>+[13]파주!$H$86/1000</f>
        <v>1693.9686640000009</v>
      </c>
      <c r="X10" s="49">
        <f t="shared" si="5"/>
        <v>-2099.4907759999996</v>
      </c>
      <c r="Y10" s="45">
        <f>+[12]파주!$H$92/1000</f>
        <v>-89.683152606092861</v>
      </c>
      <c r="Z10" s="46">
        <f>+[12]파주!$I$92/1000</f>
        <v>-1187.0911265362649</v>
      </c>
      <c r="AA10" s="47">
        <f t="shared" si="6"/>
        <v>-1097.4079739301721</v>
      </c>
      <c r="AB10" s="48">
        <f>+[13]파주!$H$92/1000</f>
        <v>511.36047542387433</v>
      </c>
      <c r="AC10" s="49">
        <f t="shared" si="7"/>
        <v>-1698.4516019601392</v>
      </c>
    </row>
    <row r="11" spans="1:32" s="8" customFormat="1" ht="22.5" customHeight="1" x14ac:dyDescent="0.3">
      <c r="B11" s="8" t="s">
        <v>110</v>
      </c>
      <c r="G11" s="336"/>
      <c r="H11" s="74"/>
      <c r="I11" s="75" t="s">
        <v>108</v>
      </c>
      <c r="J11" s="45">
        <f>+[4]김포!$H$86/1000</f>
        <v>84.478736980823399</v>
      </c>
      <c r="K11" s="46">
        <f>+[4]김포!$I$86/1000</f>
        <v>5.8503719999998935</v>
      </c>
      <c r="L11" s="47">
        <f t="shared" si="0"/>
        <v>-78.628364980823505</v>
      </c>
      <c r="M11" s="48">
        <f>+[5]김포!$H$86/1000</f>
        <v>74.662069000000059</v>
      </c>
      <c r="N11" s="49">
        <f t="shared" si="1"/>
        <v>-68.811697000000166</v>
      </c>
      <c r="O11" s="45">
        <f>+[4]김포!$H$92/1000</f>
        <v>19.339222131288871</v>
      </c>
      <c r="P11" s="46">
        <f>+[4]김포!$I$92/1000</f>
        <v>-52.509406787746173</v>
      </c>
      <c r="Q11" s="47">
        <f t="shared" si="2"/>
        <v>-71.848628919035036</v>
      </c>
      <c r="R11" s="48">
        <f>+[5]김포!$H$92/1000</f>
        <v>26.523304845752094</v>
      </c>
      <c r="S11" s="49">
        <f t="shared" si="3"/>
        <v>-79.032711633498266</v>
      </c>
      <c r="T11" s="45">
        <f>+[12]김포!$H$86/1000</f>
        <v>855.9846619504807</v>
      </c>
      <c r="U11" s="46">
        <f>+[12]김포!$I$86/1000</f>
        <v>-44.558193000000728</v>
      </c>
      <c r="V11" s="47">
        <f t="shared" si="4"/>
        <v>-900.54285495048146</v>
      </c>
      <c r="W11" s="48">
        <f>+[13]김포!$H$86/1000</f>
        <v>935.79926200000034</v>
      </c>
      <c r="X11" s="49">
        <f t="shared" si="5"/>
        <v>-980.3574550000011</v>
      </c>
      <c r="Y11" s="45">
        <f>+[12]김포!$H$92/1000</f>
        <v>128.06084394897974</v>
      </c>
      <c r="Z11" s="46">
        <f>+[12]김포!$I$92/1000</f>
        <v>-758.58700957847157</v>
      </c>
      <c r="AA11" s="47">
        <f t="shared" si="6"/>
        <v>-886.64785352745128</v>
      </c>
      <c r="AB11" s="48">
        <f>+[13]김포!$H$92/1000</f>
        <v>400.27238153737107</v>
      </c>
      <c r="AC11" s="49">
        <f t="shared" si="7"/>
        <v>-1158.8593911158428</v>
      </c>
    </row>
    <row r="12" spans="1:32" s="8" customFormat="1" ht="22.5" customHeight="1" x14ac:dyDescent="0.3">
      <c r="B12" s="8" t="s">
        <v>21</v>
      </c>
      <c r="G12" s="334"/>
      <c r="H12" s="74"/>
      <c r="I12" s="76" t="s">
        <v>21</v>
      </c>
      <c r="J12" s="62">
        <f>+[4]부산!$H$86/1000</f>
        <v>166.34785653224458</v>
      </c>
      <c r="K12" s="63">
        <f>+[4]부산!$I$86/1000</f>
        <v>113.69739100000014</v>
      </c>
      <c r="L12" s="64">
        <f t="shared" si="0"/>
        <v>-52.650465532244439</v>
      </c>
      <c r="M12" s="65">
        <f>+[5]부산!$H$86/1000</f>
        <v>57.651192999999957</v>
      </c>
      <c r="N12" s="66">
        <f t="shared" si="1"/>
        <v>56.046198000000182</v>
      </c>
      <c r="O12" s="62">
        <f>+[4]부산!$H$92/1000</f>
        <v>64.628994332455335</v>
      </c>
      <c r="P12" s="63">
        <f>+[4]부산!$I$92/1000</f>
        <v>-17.122378658735091</v>
      </c>
      <c r="Q12" s="64">
        <f t="shared" si="2"/>
        <v>-81.751372991190422</v>
      </c>
      <c r="R12" s="65">
        <f>+[5]부산!$H$92/1000</f>
        <v>-16.70385974587807</v>
      </c>
      <c r="S12" s="66">
        <f t="shared" si="3"/>
        <v>-0.41851891285702081</v>
      </c>
      <c r="T12" s="62">
        <f>+[12]부산!$H$86/1000</f>
        <v>1796.6635146320675</v>
      </c>
      <c r="U12" s="63">
        <f>+[12]부산!$I$86/1000</f>
        <v>1889.3756590000025</v>
      </c>
      <c r="V12" s="64">
        <f t="shared" si="4"/>
        <v>92.712144367935025</v>
      </c>
      <c r="W12" s="65">
        <f>+[13]부산!$H$86/1000</f>
        <v>2050.9055080000007</v>
      </c>
      <c r="X12" s="66">
        <f t="shared" si="5"/>
        <v>-161.52984899999819</v>
      </c>
      <c r="Y12" s="62">
        <f>+[12]부산!$H$92/1000</f>
        <v>582.71717633439971</v>
      </c>
      <c r="Z12" s="63">
        <f>+[12]부산!$I$92/1000</f>
        <v>456.02028545700966</v>
      </c>
      <c r="AA12" s="64">
        <f t="shared" si="6"/>
        <v>-126.69689087739005</v>
      </c>
      <c r="AB12" s="65">
        <f>+[13]부산!$H$92/1000</f>
        <v>990.12735292864306</v>
      </c>
      <c r="AC12" s="66">
        <f t="shared" si="7"/>
        <v>-534.1070674716334</v>
      </c>
      <c r="AD12" s="488"/>
      <c r="AE12" s="86"/>
    </row>
    <row r="13" spans="1:32" s="8" customFormat="1" ht="22.5" customHeight="1" x14ac:dyDescent="0.3">
      <c r="B13" s="8" t="s">
        <v>22</v>
      </c>
      <c r="G13" s="334"/>
      <c r="H13" s="74"/>
      <c r="I13" s="75" t="s">
        <v>22</v>
      </c>
      <c r="J13" s="45">
        <f>+[4]서부산!$H$86/1000</f>
        <v>178.71898030460724</v>
      </c>
      <c r="K13" s="46">
        <f>+[4]서부산!$I$86/1000</f>
        <v>182.61006500000011</v>
      </c>
      <c r="L13" s="47">
        <f t="shared" si="0"/>
        <v>3.8910846953928626</v>
      </c>
      <c r="M13" s="48">
        <f>+[5]서부산!$H$86/1000</f>
        <v>132.60605799999979</v>
      </c>
      <c r="N13" s="49">
        <f t="shared" si="1"/>
        <v>50.004007000000314</v>
      </c>
      <c r="O13" s="45">
        <f>+[4]서부산!$H$92/1000</f>
        <v>84.933276410421072</v>
      </c>
      <c r="P13" s="46">
        <f>+[4]서부산!$I$92/1000</f>
        <v>45.122991109533409</v>
      </c>
      <c r="Q13" s="47">
        <f t="shared" si="2"/>
        <v>-39.810285300887664</v>
      </c>
      <c r="R13" s="48">
        <f>+[5]서부산!$H$92/1000</f>
        <v>52.377762632854839</v>
      </c>
      <c r="S13" s="49">
        <f t="shared" si="3"/>
        <v>-7.2547715233214305</v>
      </c>
      <c r="T13" s="45">
        <f>+[12]서부산!$H$86/1000</f>
        <v>1812.3444437957935</v>
      </c>
      <c r="U13" s="46">
        <f>+[12]서부산!$I$86/1000</f>
        <v>1190.6673209999999</v>
      </c>
      <c r="V13" s="47">
        <f t="shared" si="4"/>
        <v>-621.67712279579359</v>
      </c>
      <c r="W13" s="48">
        <f>+[13]서부산!$H$86/1000</f>
        <v>2290.6040859999994</v>
      </c>
      <c r="X13" s="49">
        <f t="shared" si="5"/>
        <v>-1099.9367649999995</v>
      </c>
      <c r="Y13" s="45">
        <f>+[12]서부산!$H$92/1000</f>
        <v>714.67713484709452</v>
      </c>
      <c r="Z13" s="46">
        <f>+[12]서부산!$I$92/1000</f>
        <v>30.725159890160896</v>
      </c>
      <c r="AA13" s="47">
        <f t="shared" si="6"/>
        <v>-683.95197495693367</v>
      </c>
      <c r="AB13" s="48">
        <f>+[13]서부산!$H$92/1000</f>
        <v>1237.0225426534653</v>
      </c>
      <c r="AC13" s="49">
        <f t="shared" si="7"/>
        <v>-1206.2973827633043</v>
      </c>
    </row>
    <row r="14" spans="1:32" s="8" customFormat="1" ht="22.5" customHeight="1" x14ac:dyDescent="0.3">
      <c r="B14" s="8" t="s">
        <v>23</v>
      </c>
      <c r="G14" s="334"/>
      <c r="H14" s="74"/>
      <c r="I14" s="75" t="s">
        <v>23</v>
      </c>
      <c r="J14" s="45">
        <f>+[4]김해!$H$86/1000</f>
        <v>147.10502384574576</v>
      </c>
      <c r="K14" s="46">
        <f>+[4]김해!$I$86/1000</f>
        <v>-38.691111000000127</v>
      </c>
      <c r="L14" s="47">
        <f t="shared" si="0"/>
        <v>-185.79613484574588</v>
      </c>
      <c r="M14" s="48">
        <f>+[5]김해!$H$86/1000</f>
        <v>10.39804699999997</v>
      </c>
      <c r="N14" s="49">
        <f t="shared" si="1"/>
        <v>-49.089158000000097</v>
      </c>
      <c r="O14" s="45">
        <f>+[4]김해!$H$92/1000</f>
        <v>70.514075568206167</v>
      </c>
      <c r="P14" s="46">
        <f>+[4]김해!$I$92/1000</f>
        <v>-81.086158559133679</v>
      </c>
      <c r="Q14" s="47">
        <f t="shared" si="2"/>
        <v>-151.60023412733983</v>
      </c>
      <c r="R14" s="48">
        <f>+[5]김해!$H$92/1000</f>
        <v>-42.669719494764962</v>
      </c>
      <c r="S14" s="49">
        <f t="shared" si="3"/>
        <v>-38.416439064368717</v>
      </c>
      <c r="T14" s="45">
        <f>+[12]김해!$H$86/1000</f>
        <v>1156.3373391480018</v>
      </c>
      <c r="U14" s="46">
        <f>+[12]김해!$I$86/1000</f>
        <v>-347.12307900000042</v>
      </c>
      <c r="V14" s="47">
        <f t="shared" si="4"/>
        <v>-1503.4604181480022</v>
      </c>
      <c r="W14" s="48">
        <f>+[13]김해!$H$86/1000</f>
        <v>720.05565799999908</v>
      </c>
      <c r="X14" s="49">
        <f t="shared" si="5"/>
        <v>-1067.1787369999995</v>
      </c>
      <c r="Y14" s="45">
        <f>+[12]김해!$H$92/1000</f>
        <v>392.15213971908622</v>
      </c>
      <c r="Z14" s="46">
        <f>+[12]김해!$I$92/1000</f>
        <v>-922.49373406157724</v>
      </c>
      <c r="AA14" s="47">
        <f t="shared" si="6"/>
        <v>-1314.6458737806634</v>
      </c>
      <c r="AB14" s="48">
        <f>+[13]김해!$H$92/1000</f>
        <v>80.018337446483315</v>
      </c>
      <c r="AC14" s="49">
        <f t="shared" si="7"/>
        <v>-1002.5120715080606</v>
      </c>
      <c r="AF14" s="484"/>
    </row>
    <row r="15" spans="1:32" s="8" customFormat="1" ht="22.5" customHeight="1" x14ac:dyDescent="0.3">
      <c r="B15" s="8" t="s">
        <v>24</v>
      </c>
      <c r="G15" s="334"/>
      <c r="H15" s="74"/>
      <c r="I15" s="75" t="s">
        <v>24</v>
      </c>
      <c r="J15" s="45">
        <f>+[4]정관!$H$86/1000</f>
        <v>140.96725293050312</v>
      </c>
      <c r="K15" s="46">
        <f>+[4]정관!$I$86/1000</f>
        <v>70.235028999999955</v>
      </c>
      <c r="L15" s="47">
        <f t="shared" si="0"/>
        <v>-70.732223930503167</v>
      </c>
      <c r="M15" s="48">
        <f>+[5]정관!$H$86/1000</f>
        <v>142.76762600000006</v>
      </c>
      <c r="N15" s="49">
        <f t="shared" si="1"/>
        <v>-72.532597000000109</v>
      </c>
      <c r="O15" s="45">
        <f>+[4]정관!$H$92/1000</f>
        <v>49.701761930561361</v>
      </c>
      <c r="P15" s="46">
        <f>+[4]정관!$I$92/1000</f>
        <v>-51.391855651148767</v>
      </c>
      <c r="Q15" s="47">
        <f t="shared" si="2"/>
        <v>-101.09361758171013</v>
      </c>
      <c r="R15" s="48">
        <f>+[5]정관!$H$92/1000</f>
        <v>51.510287393934092</v>
      </c>
      <c r="S15" s="49">
        <f t="shared" si="3"/>
        <v>-102.90214304508285</v>
      </c>
      <c r="T15" s="45">
        <f>+[12]정관!$H$86/1000</f>
        <v>1561.2825495431393</v>
      </c>
      <c r="U15" s="46">
        <f>+[12]정관!$I$86/1000</f>
        <v>1707.6805010000055</v>
      </c>
      <c r="V15" s="47">
        <f t="shared" si="4"/>
        <v>146.39795145686617</v>
      </c>
      <c r="W15" s="48">
        <f>+[13]정관!$H$86/1000</f>
        <v>1743.0185790000012</v>
      </c>
      <c r="X15" s="49">
        <f t="shared" si="5"/>
        <v>-35.338077999995676</v>
      </c>
      <c r="Y15" s="45">
        <f>+[12]정관!$H$92/1000</f>
        <v>456.92816810661367</v>
      </c>
      <c r="Z15" s="46">
        <f>+[12]정관!$I$92/1000</f>
        <v>288.98611229361381</v>
      </c>
      <c r="AA15" s="47">
        <f t="shared" si="6"/>
        <v>-167.94205581299985</v>
      </c>
      <c r="AB15" s="48">
        <f>+[13]정관!$H$92/1000</f>
        <v>744.50983414482164</v>
      </c>
      <c r="AC15" s="49">
        <f t="shared" si="7"/>
        <v>-455.52372185120782</v>
      </c>
      <c r="AF15" s="484"/>
    </row>
    <row r="16" spans="1:32" s="8" customFormat="1" ht="22.5" customHeight="1" x14ac:dyDescent="0.3">
      <c r="B16" s="8" t="s">
        <v>25</v>
      </c>
      <c r="G16" s="334"/>
      <c r="H16" s="74"/>
      <c r="I16" s="75" t="s">
        <v>25</v>
      </c>
      <c r="J16" s="45">
        <f>+[4]양산!$H$86/1000</f>
        <v>111.54796931510573</v>
      </c>
      <c r="K16" s="46">
        <f>+[4]양산!$I$86/1000</f>
        <v>-76.735298000000057</v>
      </c>
      <c r="L16" s="47">
        <f t="shared" si="0"/>
        <v>-188.28326731510577</v>
      </c>
      <c r="M16" s="48">
        <f>+[5]양산!$H$86/1000</f>
        <v>152.35461799999996</v>
      </c>
      <c r="N16" s="49">
        <f t="shared" si="1"/>
        <v>-229.08991600000002</v>
      </c>
      <c r="O16" s="45">
        <f>+[4]양산!$H$92/1000</f>
        <v>55.249922738805132</v>
      </c>
      <c r="P16" s="46">
        <f>+[4]양산!$I$92/1000</f>
        <v>-100.08863853493662</v>
      </c>
      <c r="Q16" s="47">
        <f t="shared" si="2"/>
        <v>-155.33856127374176</v>
      </c>
      <c r="R16" s="48">
        <f>+[5]양산!$H$92/1000</f>
        <v>96.05672788563848</v>
      </c>
      <c r="S16" s="49">
        <f t="shared" si="3"/>
        <v>-196.1453664205751</v>
      </c>
      <c r="T16" s="45">
        <f>+[12]양산!$H$86/1000</f>
        <v>915.4781027142086</v>
      </c>
      <c r="U16" s="46">
        <f>+[12]양산!$I$86/1000</f>
        <v>-109.57679299999938</v>
      </c>
      <c r="V16" s="47">
        <f t="shared" si="4"/>
        <v>-1025.054895714208</v>
      </c>
      <c r="W16" s="48">
        <f>+[13]양산!$H$86/1000</f>
        <v>1086.1549300000015</v>
      </c>
      <c r="X16" s="49">
        <f t="shared" si="5"/>
        <v>-1195.7317230000008</v>
      </c>
      <c r="Y16" s="45">
        <f>+[12]양산!$H$92/1000</f>
        <v>297.55152728675762</v>
      </c>
      <c r="Z16" s="46">
        <f>+[12]양산!$I$92/1000</f>
        <v>-526.25695616333178</v>
      </c>
      <c r="AA16" s="47">
        <f t="shared" si="6"/>
        <v>-823.8084834500894</v>
      </c>
      <c r="AB16" s="48">
        <f>+[13]양산!$H$92/1000</f>
        <v>495.49240668629039</v>
      </c>
      <c r="AC16" s="49">
        <f t="shared" si="7"/>
        <v>-1021.7493628496222</v>
      </c>
      <c r="AF16" s="484"/>
    </row>
    <row r="17" spans="2:30" s="8" customFormat="1" ht="22.5" customHeight="1" x14ac:dyDescent="0.3">
      <c r="B17" s="8" t="s">
        <v>26</v>
      </c>
      <c r="G17" s="334"/>
      <c r="H17" s="74"/>
      <c r="I17" s="75" t="s">
        <v>26</v>
      </c>
      <c r="J17" s="45">
        <f>+[4]창원!$H$86/1000</f>
        <v>251.93650081406977</v>
      </c>
      <c r="K17" s="46">
        <f>+[4]창원!$I$86/1000</f>
        <v>-42.600381000000056</v>
      </c>
      <c r="L17" s="47">
        <f t="shared" si="0"/>
        <v>-294.53688181406983</v>
      </c>
      <c r="M17" s="48">
        <f>+[5]창원!$H$86/1000</f>
        <v>76.578861000000131</v>
      </c>
      <c r="N17" s="49">
        <f t="shared" si="1"/>
        <v>-119.17924200000019</v>
      </c>
      <c r="O17" s="45">
        <f>+[4]창원!$H$92/1000</f>
        <v>162.37119620777636</v>
      </c>
      <c r="P17" s="46">
        <f>+[4]창원!$I$92/1000</f>
        <v>-89.113415125680476</v>
      </c>
      <c r="Q17" s="47">
        <f t="shared" si="2"/>
        <v>-251.48461133345683</v>
      </c>
      <c r="R17" s="48">
        <f>+[5]창원!$H$92/1000</f>
        <v>18.191433519990316</v>
      </c>
      <c r="S17" s="49">
        <f t="shared" si="3"/>
        <v>-107.30484864567079</v>
      </c>
      <c r="T17" s="45">
        <f>+[12]창원!$H$86/1000</f>
        <v>1103.6292768490316</v>
      </c>
      <c r="U17" s="46">
        <f>+[12]창원!$I$86/1000</f>
        <v>236.56987500000145</v>
      </c>
      <c r="V17" s="47">
        <f t="shared" si="4"/>
        <v>-867.05940184903011</v>
      </c>
      <c r="W17" s="48">
        <f>+[13]창원!$H$86/1000</f>
        <v>2438.770053000002</v>
      </c>
      <c r="X17" s="49">
        <f t="shared" si="5"/>
        <v>-2202.2001780000005</v>
      </c>
      <c r="Y17" s="45">
        <f>+[12]창원!$H$92/1000</f>
        <v>410.49495517213575</v>
      </c>
      <c r="Z17" s="46">
        <f>+[12]창원!$I$92/1000</f>
        <v>-386.37951815485769</v>
      </c>
      <c r="AA17" s="47">
        <f t="shared" si="6"/>
        <v>-796.87447332699344</v>
      </c>
      <c r="AB17" s="48">
        <f>+[13]창원!$H$92/1000</f>
        <v>1562.049126809575</v>
      </c>
      <c r="AC17" s="49">
        <f t="shared" si="7"/>
        <v>-1948.4286449644328</v>
      </c>
    </row>
    <row r="18" spans="2:30" s="8" customFormat="1" ht="22.5" customHeight="1" x14ac:dyDescent="0.3">
      <c r="B18" s="8" t="s">
        <v>70</v>
      </c>
      <c r="G18" s="334"/>
      <c r="H18" s="74"/>
      <c r="I18" s="75" t="s">
        <v>70</v>
      </c>
      <c r="J18" s="45">
        <f>+[4]대구!$H$86/1000</f>
        <v>112.899386292323</v>
      </c>
      <c r="K18" s="46">
        <f>+[4]대구!$I$86/1000</f>
        <v>-60.636871999999997</v>
      </c>
      <c r="L18" s="47">
        <f t="shared" si="0"/>
        <v>-173.536258292323</v>
      </c>
      <c r="M18" s="48">
        <f>+[5]대구!$H$86/1000</f>
        <v>100.63415100000014</v>
      </c>
      <c r="N18" s="49">
        <f t="shared" si="1"/>
        <v>-161.27102300000013</v>
      </c>
      <c r="O18" s="45">
        <f>+[4]대구!$H$92/1000</f>
        <v>54.887798364510964</v>
      </c>
      <c r="P18" s="46">
        <f>+[4]대구!$I$92/1000</f>
        <v>-100.66680406189873</v>
      </c>
      <c r="Q18" s="47">
        <f t="shared" si="2"/>
        <v>-155.5546024264097</v>
      </c>
      <c r="R18" s="48">
        <f>+[5]대구!$H$92/1000</f>
        <v>37.610824686836061</v>
      </c>
      <c r="S18" s="49">
        <f t="shared" si="3"/>
        <v>-138.2776287487348</v>
      </c>
      <c r="T18" s="45">
        <f>+[12]대구!$H$86/1000</f>
        <v>1077.9801242107742</v>
      </c>
      <c r="U18" s="46">
        <f>+[12]대구!$I$86/1000</f>
        <v>24.142328999999183</v>
      </c>
      <c r="V18" s="47">
        <f t="shared" si="4"/>
        <v>-1053.8377952107751</v>
      </c>
      <c r="W18" s="48">
        <f>+[13]대구!$H$86/1000</f>
        <v>2216.7038510000002</v>
      </c>
      <c r="X18" s="49">
        <f t="shared" si="5"/>
        <v>-2192.5615220000009</v>
      </c>
      <c r="Y18" s="45">
        <f>+[12]대구!$H$92/1000</f>
        <v>404.55314197976583</v>
      </c>
      <c r="Z18" s="46">
        <f>+[12]대구!$I$92/1000</f>
        <v>-510.94179892803726</v>
      </c>
      <c r="AA18" s="47">
        <f t="shared" si="6"/>
        <v>-915.49494090780308</v>
      </c>
      <c r="AB18" s="48">
        <f>+[13]대구!$H$92/1000</f>
        <v>1431.6359891836244</v>
      </c>
      <c r="AC18" s="49">
        <f t="shared" si="7"/>
        <v>-1942.5777881116617</v>
      </c>
    </row>
    <row r="19" spans="2:30" s="8" customFormat="1" ht="22.5" customHeight="1" x14ac:dyDescent="0.3">
      <c r="B19" s="8" t="s">
        <v>71</v>
      </c>
      <c r="G19" s="336"/>
      <c r="H19" s="74"/>
      <c r="I19" s="77" t="s">
        <v>71</v>
      </c>
      <c r="J19" s="9">
        <f>+[4]울산!$H$86/1000</f>
        <v>135.82855026316662</v>
      </c>
      <c r="K19" s="10">
        <f>+[4]울산!$I$86/1000</f>
        <v>31.56500200000006</v>
      </c>
      <c r="L19" s="11">
        <f t="shared" si="0"/>
        <v>-104.26354826316656</v>
      </c>
      <c r="M19" s="12">
        <f>+[5]울산!$H$86/1000</f>
        <v>157.77048399999995</v>
      </c>
      <c r="N19" s="13">
        <f t="shared" si="1"/>
        <v>-126.20548199999989</v>
      </c>
      <c r="O19" s="9">
        <f>+[4]울산!$H$92/1000</f>
        <v>71.069243714698416</v>
      </c>
      <c r="P19" s="10">
        <f>+[4]울산!$I$92/1000</f>
        <v>-29.596117722872403</v>
      </c>
      <c r="Q19" s="11">
        <f t="shared" si="2"/>
        <v>-100.66536143757082</v>
      </c>
      <c r="R19" s="12">
        <f>+[5]울산!$H$92/1000</f>
        <v>96.676348289703029</v>
      </c>
      <c r="S19" s="13">
        <f t="shared" si="3"/>
        <v>-126.27246601257544</v>
      </c>
      <c r="T19" s="9">
        <f>+[12]울산!$H$86/1000</f>
        <v>947.24572623057156</v>
      </c>
      <c r="U19" s="10">
        <f>+[12]울산!$I$86/1000</f>
        <v>916.16563899999926</v>
      </c>
      <c r="V19" s="11">
        <f t="shared" si="4"/>
        <v>-31.080087230572303</v>
      </c>
      <c r="W19" s="12">
        <f>+[13]울산!$H$86/1000</f>
        <v>1238.1898330000004</v>
      </c>
      <c r="X19" s="13">
        <f t="shared" si="5"/>
        <v>-322.0241940000011</v>
      </c>
      <c r="Y19" s="9">
        <f>+[12]울산!$H$92/1000</f>
        <v>252.60568484894</v>
      </c>
      <c r="Z19" s="10">
        <f>+[12]울산!$I$92/1000</f>
        <v>262.9133128615739</v>
      </c>
      <c r="AA19" s="11">
        <f t="shared" si="6"/>
        <v>10.307628012633899</v>
      </c>
      <c r="AB19" s="12">
        <f>+[13]울산!$H$92/1000</f>
        <v>657.34378523254622</v>
      </c>
      <c r="AC19" s="13">
        <f t="shared" si="7"/>
        <v>-394.43047237097232</v>
      </c>
    </row>
    <row r="20" spans="2:30" s="8" customFormat="1" ht="22.5" customHeight="1" x14ac:dyDescent="0.3">
      <c r="B20" s="8" t="s">
        <v>76</v>
      </c>
      <c r="G20" s="336"/>
      <c r="H20" s="74"/>
      <c r="I20" s="75" t="s">
        <v>27</v>
      </c>
      <c r="J20" s="45">
        <f>+[4]아산!$H$86/1000</f>
        <v>281.7495244003332</v>
      </c>
      <c r="K20" s="46">
        <f>+[4]아산!$I$86/1000</f>
        <v>68.467207999999971</v>
      </c>
      <c r="L20" s="47">
        <f t="shared" si="0"/>
        <v>-213.28231640033323</v>
      </c>
      <c r="M20" s="48">
        <f>+[5]아산!$H$86/1000</f>
        <v>518.1411419999996</v>
      </c>
      <c r="N20" s="49">
        <f t="shared" si="1"/>
        <v>-449.67393399999963</v>
      </c>
      <c r="O20" s="45">
        <f>+[4]아산!$H$92/1000</f>
        <v>180.0530989003604</v>
      </c>
      <c r="P20" s="46">
        <f>+[4]아산!$I$92/1000</f>
        <v>-58.754126013384507</v>
      </c>
      <c r="Q20" s="47">
        <f t="shared" si="2"/>
        <v>-238.8072249137449</v>
      </c>
      <c r="R20" s="48">
        <f>+[5]아산!$H$92/1000</f>
        <v>381.7484907515971</v>
      </c>
      <c r="S20" s="49">
        <f t="shared" si="3"/>
        <v>-440.50261676498161</v>
      </c>
      <c r="T20" s="45">
        <f>+[12]아산!$H$86/1000</f>
        <v>2864.5775880586202</v>
      </c>
      <c r="U20" s="46">
        <f>+[12]아산!$I$86/1000</f>
        <v>844.40573200000324</v>
      </c>
      <c r="V20" s="47">
        <f t="shared" si="4"/>
        <v>-2020.1718560586169</v>
      </c>
      <c r="W20" s="48">
        <f>+[13]아산!$H$86/1000</f>
        <v>3882.6669789999928</v>
      </c>
      <c r="X20" s="49">
        <f t="shared" si="5"/>
        <v>-3038.2612469999895</v>
      </c>
      <c r="Y20" s="45">
        <f>+[12]아산!$H$92/1000</f>
        <v>1660.3746801041973</v>
      </c>
      <c r="Z20" s="46">
        <f>+[12]아산!$I$92/1000</f>
        <v>-479.6427784136925</v>
      </c>
      <c r="AA20" s="47">
        <f t="shared" si="6"/>
        <v>-2140.0174585178897</v>
      </c>
      <c r="AB20" s="48">
        <f>+[13]아산!$H$92/1000</f>
        <v>2600.303489782048</v>
      </c>
      <c r="AC20" s="49">
        <f t="shared" si="7"/>
        <v>-3079.9462681957407</v>
      </c>
    </row>
    <row r="21" spans="2:30" s="8" customFormat="1" ht="22.5" customHeight="1" x14ac:dyDescent="0.3">
      <c r="B21" s="8" t="s">
        <v>72</v>
      </c>
      <c r="G21" s="336"/>
      <c r="H21" s="74"/>
      <c r="I21" s="75" t="s">
        <v>72</v>
      </c>
      <c r="J21" s="45">
        <f>+[4]전주!$H$86/1000</f>
        <v>178.63194355114572</v>
      </c>
      <c r="K21" s="46">
        <f>+[4]전주!$I$86/1000</f>
        <v>116.34730200000004</v>
      </c>
      <c r="L21" s="47">
        <f t="shared" si="0"/>
        <v>-62.284641551145683</v>
      </c>
      <c r="M21" s="48">
        <f>+[5]전주!$H$86/1000</f>
        <v>51.295807000000089</v>
      </c>
      <c r="N21" s="49">
        <f t="shared" si="1"/>
        <v>65.05149499999996</v>
      </c>
      <c r="O21" s="45">
        <f>+[4]전주!$H$92/1000</f>
        <v>121.74537647714099</v>
      </c>
      <c r="P21" s="46">
        <f>+[4]전주!$I$92/1000</f>
        <v>29.224897784493034</v>
      </c>
      <c r="Q21" s="47">
        <f t="shared" si="2"/>
        <v>-92.520478692647956</v>
      </c>
      <c r="R21" s="48">
        <f>+[5]전주!$H$92/1000</f>
        <v>14.527563950649704</v>
      </c>
      <c r="S21" s="49">
        <f t="shared" si="3"/>
        <v>14.697333833843331</v>
      </c>
      <c r="T21" s="45">
        <f>+[12]전주!$H$86/1000</f>
        <v>1175.206909083312</v>
      </c>
      <c r="U21" s="46">
        <f>+[12]전주!$I$86/1000</f>
        <v>1225.834930999999</v>
      </c>
      <c r="V21" s="47">
        <f t="shared" si="4"/>
        <v>50.628021916686976</v>
      </c>
      <c r="W21" s="48">
        <f>+[13]전주!$H$86/1000</f>
        <v>565.11720100000025</v>
      </c>
      <c r="X21" s="49">
        <f t="shared" si="5"/>
        <v>660.71772999999871</v>
      </c>
      <c r="Y21" s="45">
        <f>+[12]전주!$H$92/1000</f>
        <v>611.87673174589202</v>
      </c>
      <c r="Z21" s="46">
        <f>+[12]전주!$I$92/1000</f>
        <v>472.53365747693658</v>
      </c>
      <c r="AA21" s="47">
        <f t="shared" si="6"/>
        <v>-139.34307426895543</v>
      </c>
      <c r="AB21" s="48">
        <f>+[13]전주!$H$92/1000</f>
        <v>182.05996613765765</v>
      </c>
      <c r="AC21" s="49">
        <f t="shared" si="7"/>
        <v>290.47369133927896</v>
      </c>
    </row>
    <row r="22" spans="2:30" s="8" customFormat="1" ht="22.5" customHeight="1" x14ac:dyDescent="0.3">
      <c r="B22" s="8" t="s">
        <v>73</v>
      </c>
      <c r="G22" s="336"/>
      <c r="H22" s="74"/>
      <c r="I22" s="75" t="s">
        <v>73</v>
      </c>
      <c r="J22" s="45">
        <f>+[4]군산!$H$86/1000</f>
        <v>205.06835729126487</v>
      </c>
      <c r="K22" s="46">
        <f>+[4]군산!$I$86/1000</f>
        <v>39.536473999999991</v>
      </c>
      <c r="L22" s="47">
        <f t="shared" si="0"/>
        <v>-165.53188329126488</v>
      </c>
      <c r="M22" s="48">
        <f>+[5]군산!$H$86/1000</f>
        <v>268.545388</v>
      </c>
      <c r="N22" s="49">
        <f t="shared" si="1"/>
        <v>-229.008914</v>
      </c>
      <c r="O22" s="45">
        <f>+[4]군산!$H$92/1000</f>
        <v>165.9105882556342</v>
      </c>
      <c r="P22" s="46">
        <f>+[4]군산!$I$92/1000</f>
        <v>15.925402974292716</v>
      </c>
      <c r="Q22" s="47">
        <f t="shared" si="2"/>
        <v>-149.98518528134147</v>
      </c>
      <c r="R22" s="48">
        <f>+[5]군산!$H$92/1000</f>
        <v>228.51093992717225</v>
      </c>
      <c r="S22" s="49">
        <f t="shared" si="3"/>
        <v>-212.58553695287952</v>
      </c>
      <c r="T22" s="45">
        <f>+[12]군산!$H$86/1000</f>
        <v>1839.8775434962504</v>
      </c>
      <c r="U22" s="46">
        <f>+[12]군산!$I$86/1000</f>
        <v>952.38856099999828</v>
      </c>
      <c r="V22" s="47">
        <f t="shared" si="4"/>
        <v>-887.48898249625211</v>
      </c>
      <c r="W22" s="48">
        <f>+[13]군산!$H$86/1000</f>
        <v>2690.6226990000032</v>
      </c>
      <c r="X22" s="49">
        <f t="shared" si="5"/>
        <v>-1738.2341380000048</v>
      </c>
      <c r="Y22" s="45">
        <f>+[12]군산!$H$92/1000</f>
        <v>1427.3984610314403</v>
      </c>
      <c r="Z22" s="46">
        <f>+[12]군산!$I$92/1000</f>
        <v>631.65655419479572</v>
      </c>
      <c r="AA22" s="47">
        <f t="shared" si="6"/>
        <v>-795.7419068366446</v>
      </c>
      <c r="AB22" s="48">
        <f>+[13]군산!$H$92/1000</f>
        <v>2223.7266106250599</v>
      </c>
      <c r="AC22" s="49">
        <f t="shared" si="7"/>
        <v>-1592.0700564302642</v>
      </c>
    </row>
    <row r="23" spans="2:30" s="8" customFormat="1" ht="22.5" customHeight="1" x14ac:dyDescent="0.3">
      <c r="B23" s="8" t="s">
        <v>74</v>
      </c>
      <c r="G23" s="336"/>
      <c r="H23" s="74"/>
      <c r="I23" s="75" t="s">
        <v>74</v>
      </c>
      <c r="J23" s="45">
        <f>+[4]원주!$H$86/1000</f>
        <v>103.86534141562616</v>
      </c>
      <c r="K23" s="46">
        <f>+[4]원주!$I$86/1000</f>
        <v>85.403376999999978</v>
      </c>
      <c r="L23" s="47">
        <f t="shared" si="0"/>
        <v>-18.461964415626184</v>
      </c>
      <c r="M23" s="48">
        <f>+[5]원주!$H$86/1000</f>
        <v>104.30830999999999</v>
      </c>
      <c r="N23" s="49">
        <f t="shared" si="1"/>
        <v>-18.904933000000014</v>
      </c>
      <c r="O23" s="45">
        <f>+[4]원주!$H$92/1000</f>
        <v>77.536169765147775</v>
      </c>
      <c r="P23" s="46">
        <f>+[4]원주!$I$92/1000</f>
        <v>55.427883931392891</v>
      </c>
      <c r="Q23" s="47">
        <f t="shared" si="2"/>
        <v>-22.108285833754884</v>
      </c>
      <c r="R23" s="48">
        <f>+[5]원주!$H$92/1000</f>
        <v>80.200221089201534</v>
      </c>
      <c r="S23" s="49">
        <f t="shared" si="3"/>
        <v>-24.772337157808643</v>
      </c>
      <c r="T23" s="45">
        <f>+[12]원주!$H$86/1000</f>
        <v>802.95939672164457</v>
      </c>
      <c r="U23" s="46">
        <f>+[12]원주!$I$86/1000</f>
        <v>168.26628799999992</v>
      </c>
      <c r="V23" s="47">
        <f t="shared" si="4"/>
        <v>-634.69310872164465</v>
      </c>
      <c r="W23" s="48">
        <f>+[13]원주!$H$86/1000</f>
        <v>1233.0110899999993</v>
      </c>
      <c r="X23" s="49">
        <f t="shared" si="5"/>
        <v>-1064.7448019999993</v>
      </c>
      <c r="Y23" s="45">
        <f>+[12]원주!$H$92/1000</f>
        <v>533.67048180096174</v>
      </c>
      <c r="Z23" s="46">
        <f>+[12]원주!$I$92/1000</f>
        <v>-85.856573932076373</v>
      </c>
      <c r="AA23" s="47">
        <f t="shared" si="6"/>
        <v>-619.52705573303808</v>
      </c>
      <c r="AB23" s="48">
        <f>+[13]원주!$H$92/1000</f>
        <v>934.59852850390951</v>
      </c>
      <c r="AC23" s="49">
        <f t="shared" si="7"/>
        <v>-1020.4551024359859</v>
      </c>
    </row>
    <row r="24" spans="2:30" s="8" customFormat="1" ht="22.5" customHeight="1" x14ac:dyDescent="0.3">
      <c r="B24" s="8" t="s">
        <v>75</v>
      </c>
      <c r="F24" s="84"/>
      <c r="G24" s="334"/>
      <c r="H24" s="74"/>
      <c r="I24" s="75" t="s">
        <v>75</v>
      </c>
      <c r="J24" s="45">
        <f>+[4]제주!$H$86/1000</f>
        <v>150.10858815339208</v>
      </c>
      <c r="K24" s="46">
        <f>+[4]제주!$I$86/1000</f>
        <v>-10.04498800000002</v>
      </c>
      <c r="L24" s="47">
        <f t="shared" si="0"/>
        <v>-160.15357615339209</v>
      </c>
      <c r="M24" s="48">
        <f>+[5]제주!$H$86/1000</f>
        <v>4.7940700000000502</v>
      </c>
      <c r="N24" s="49">
        <f t="shared" si="1"/>
        <v>-14.839058000000069</v>
      </c>
      <c r="O24" s="45">
        <f>+[4]제주!$H$92/1000</f>
        <v>103.98984689387876</v>
      </c>
      <c r="P24" s="46">
        <f>+[4]제주!$I$92/1000</f>
        <v>-39.810747284929455</v>
      </c>
      <c r="Q24" s="47">
        <f t="shared" si="2"/>
        <v>-143.80059417880821</v>
      </c>
      <c r="R24" s="48">
        <f>+[5]제주!$H$92/1000</f>
        <v>-9.8314060121633755</v>
      </c>
      <c r="S24" s="49">
        <f t="shared" si="3"/>
        <v>-29.979341272766078</v>
      </c>
      <c r="T24" s="45">
        <f>+[12]제주!$H$86/1000</f>
        <v>1593.1587088490189</v>
      </c>
      <c r="U24" s="46">
        <f>+[12]제주!$I$86/1000</f>
        <v>622.57920200000228</v>
      </c>
      <c r="V24" s="47">
        <f t="shared" si="4"/>
        <v>-970.57950684901664</v>
      </c>
      <c r="W24" s="48">
        <f>+[13]제주!$H$86/1000</f>
        <v>330.03548599999993</v>
      </c>
      <c r="X24" s="49">
        <f t="shared" si="5"/>
        <v>292.54371600000235</v>
      </c>
      <c r="Y24" s="45">
        <f>+[12]제주!$H$92/1000</f>
        <v>1052.1923045279707</v>
      </c>
      <c r="Z24" s="46">
        <f>+[12]제주!$I$92/1000</f>
        <v>219.72276778530133</v>
      </c>
      <c r="AA24" s="47">
        <f t="shared" si="6"/>
        <v>-832.46953674266933</v>
      </c>
      <c r="AB24" s="48">
        <f>+[13]제주!$H$92/1000</f>
        <v>121.90244101205334</v>
      </c>
      <c r="AC24" s="49">
        <f t="shared" si="7"/>
        <v>97.820326773247984</v>
      </c>
    </row>
    <row r="25" spans="2:30" s="8" customFormat="1" ht="22.5" customHeight="1" x14ac:dyDescent="0.3">
      <c r="F25" s="495"/>
      <c r="G25" s="337"/>
      <c r="H25" s="74"/>
      <c r="I25" s="78" t="s">
        <v>42</v>
      </c>
      <c r="J25" s="22">
        <f>SUM(J8:J11)</f>
        <v>827.85556847410874</v>
      </c>
      <c r="K25" s="19">
        <f>SUM(K8:K11)</f>
        <v>72.705947009999875</v>
      </c>
      <c r="L25" s="20">
        <f t="shared" si="0"/>
        <v>-755.1496214641088</v>
      </c>
      <c r="M25" s="24">
        <f>SUM(M8:M11)</f>
        <v>363.42567899999165</v>
      </c>
      <c r="N25" s="21">
        <f t="shared" si="1"/>
        <v>-290.71973198999177</v>
      </c>
      <c r="O25" s="22">
        <f>SUM(O8:O11)</f>
        <v>357.48672274258138</v>
      </c>
      <c r="P25" s="19">
        <f>SUM(P8:P11)</f>
        <v>-400.53110491571209</v>
      </c>
      <c r="Q25" s="20">
        <f t="shared" si="2"/>
        <v>-758.01782765829353</v>
      </c>
      <c r="R25" s="24">
        <f>SUM(R8:R11)</f>
        <v>-43.512690775703859</v>
      </c>
      <c r="S25" s="21">
        <f t="shared" si="3"/>
        <v>-357.01841414000825</v>
      </c>
      <c r="T25" s="22">
        <f>SUM(T8:T11)</f>
        <v>6883.6356438872044</v>
      </c>
      <c r="U25" s="19">
        <f>SUM(U8:U11)</f>
        <v>1870.956575019989</v>
      </c>
      <c r="V25" s="20">
        <f>+U25-T25</f>
        <v>-5012.6790688672154</v>
      </c>
      <c r="W25" s="24">
        <f>SUM(W8:W11)</f>
        <v>7787.2807830099864</v>
      </c>
      <c r="X25" s="21">
        <f>+U25-W25</f>
        <v>-5916.3242079899974</v>
      </c>
      <c r="Y25" s="22">
        <f>SUM(Y8:Y11)</f>
        <v>1426.6478953217247</v>
      </c>
      <c r="Z25" s="19">
        <f>SUM(Z8:Z11)</f>
        <v>-3384.9968999470625</v>
      </c>
      <c r="AA25" s="20">
        <f>+Z25-Y25</f>
        <v>-4811.6447952687868</v>
      </c>
      <c r="AB25" s="24">
        <f>SUM(AB8:AB11)</f>
        <v>2923.9291616053988</v>
      </c>
      <c r="AC25" s="21">
        <f>+Z25-AB25</f>
        <v>-6308.9260615524618</v>
      </c>
    </row>
    <row r="26" spans="2:30" s="8" customFormat="1" ht="22.5" customHeight="1" x14ac:dyDescent="0.3">
      <c r="F26" s="495"/>
      <c r="G26" s="334"/>
      <c r="H26" s="74"/>
      <c r="I26" s="78" t="s">
        <v>43</v>
      </c>
      <c r="J26" s="22">
        <f>SUM(J12:J19)</f>
        <v>1245.3515202977658</v>
      </c>
      <c r="K26" s="19">
        <f>SUM(K12:K19)</f>
        <v>179.44382499999995</v>
      </c>
      <c r="L26" s="20">
        <f t="shared" si="0"/>
        <v>-1065.9076952977657</v>
      </c>
      <c r="M26" s="24">
        <f>SUM(M12:M19)</f>
        <v>830.76103799999987</v>
      </c>
      <c r="N26" s="21">
        <f t="shared" si="1"/>
        <v>-651.31721299999992</v>
      </c>
      <c r="O26" s="22">
        <f>SUM(O12:O19)</f>
        <v>613.35626926743498</v>
      </c>
      <c r="P26" s="19">
        <f>SUM(P12:P19)</f>
        <v>-423.9423772048724</v>
      </c>
      <c r="Q26" s="20">
        <f t="shared" si="2"/>
        <v>-1037.2986464723074</v>
      </c>
      <c r="R26" s="24">
        <f>SUM(R12:R19)</f>
        <v>293.04980516831375</v>
      </c>
      <c r="S26" s="21">
        <f t="shared" si="3"/>
        <v>-716.9921823731861</v>
      </c>
      <c r="T26" s="22">
        <f>SUM(T12:T19)</f>
        <v>10370.961077123589</v>
      </c>
      <c r="U26" s="19">
        <f>SUM(U12:U19)</f>
        <v>5507.9014520000073</v>
      </c>
      <c r="V26" s="20">
        <f>+U26-T26</f>
        <v>-4863.059625123582</v>
      </c>
      <c r="W26" s="24">
        <f>SUM(W12:W19)</f>
        <v>13784.402498000005</v>
      </c>
      <c r="X26" s="21">
        <f>+U26-W26</f>
        <v>-8276.5010459999976</v>
      </c>
      <c r="Y26" s="22">
        <f>SUM(Y12:Y19)</f>
        <v>3511.6799282947932</v>
      </c>
      <c r="Z26" s="19">
        <f>SUM(Z12:Z19)</f>
        <v>-1307.4271368054456</v>
      </c>
      <c r="AA26" s="20">
        <f>+Z26-Y26</f>
        <v>-4819.1070651002392</v>
      </c>
      <c r="AB26" s="24">
        <f>SUM(AB12:AB19)</f>
        <v>7198.199375085449</v>
      </c>
      <c r="AC26" s="21">
        <f>+Z26-AB26</f>
        <v>-8505.6265118908941</v>
      </c>
    </row>
    <row r="27" spans="2:30" s="8" customFormat="1" ht="22.5" customHeight="1" x14ac:dyDescent="0.3">
      <c r="F27" s="495"/>
      <c r="G27" s="334"/>
      <c r="H27" s="74"/>
      <c r="I27" s="78" t="s">
        <v>106</v>
      </c>
      <c r="J27" s="22">
        <f>SUM(J20:J24)</f>
        <v>919.42375481176214</v>
      </c>
      <c r="K27" s="19">
        <f>SUM(K20:K24)</f>
        <v>299.70937299999997</v>
      </c>
      <c r="L27" s="20">
        <f t="shared" si="0"/>
        <v>-619.71438181176222</v>
      </c>
      <c r="M27" s="24">
        <f>SUM(M20:M24)</f>
        <v>947.08471699999973</v>
      </c>
      <c r="N27" s="21">
        <f t="shared" si="1"/>
        <v>-647.37534399999981</v>
      </c>
      <c r="O27" s="22">
        <f>SUM(O20:O24)</f>
        <v>649.23508029216214</v>
      </c>
      <c r="P27" s="19">
        <f>SUM(P20:P24)</f>
        <v>2.0133113918646828</v>
      </c>
      <c r="Q27" s="20">
        <f t="shared" si="2"/>
        <v>-647.22176890029743</v>
      </c>
      <c r="R27" s="24">
        <f>SUM(R20:R24)</f>
        <v>695.15580970645715</v>
      </c>
      <c r="S27" s="21">
        <f t="shared" si="3"/>
        <v>-693.14249831459244</v>
      </c>
      <c r="T27" s="22">
        <f>SUM(T20:T24)</f>
        <v>8275.7801462088464</v>
      </c>
      <c r="U27" s="19">
        <f>SUM(U20:U24)</f>
        <v>3813.4747140000027</v>
      </c>
      <c r="V27" s="20">
        <f>+U27-T27</f>
        <v>-4462.3054322088437</v>
      </c>
      <c r="W27" s="24">
        <f>SUM(W20:W24)</f>
        <v>8701.4534549999971</v>
      </c>
      <c r="X27" s="21">
        <f>+U27-W27</f>
        <v>-4887.9787409999944</v>
      </c>
      <c r="Y27" s="22">
        <f>SUM(Y20:Y24)</f>
        <v>5285.5126592104625</v>
      </c>
      <c r="Z27" s="19">
        <f>SUM(Z20:Z24)</f>
        <v>758.41362711126476</v>
      </c>
      <c r="AA27" s="20">
        <f>+Z27-Y27</f>
        <v>-4527.0990320991978</v>
      </c>
      <c r="AB27" s="24">
        <f>SUM(AB20:AB24)</f>
        <v>6062.5910360607295</v>
      </c>
      <c r="AC27" s="21">
        <f>+Z27-AB27</f>
        <v>-5304.1774089494647</v>
      </c>
    </row>
    <row r="28" spans="2:30" s="3" customFormat="1" ht="22.5" customHeight="1" x14ac:dyDescent="0.3">
      <c r="B28" s="25"/>
      <c r="F28" s="483"/>
      <c r="G28" s="336"/>
      <c r="H28" s="570" t="s">
        <v>94</v>
      </c>
      <c r="I28" s="571"/>
      <c r="J28" s="572">
        <f>SUM(J25:J27)</f>
        <v>2992.6308435836368</v>
      </c>
      <c r="K28" s="573">
        <f>SUM(K25:K27)</f>
        <v>551.85914500999979</v>
      </c>
      <c r="L28" s="574">
        <f t="shared" si="0"/>
        <v>-2440.771698573637</v>
      </c>
      <c r="M28" s="575">
        <f>SUM(M25:M27)</f>
        <v>2141.2714339999911</v>
      </c>
      <c r="N28" s="576">
        <f t="shared" si="1"/>
        <v>-1589.4122889899913</v>
      </c>
      <c r="O28" s="572">
        <f>SUM(O25:O27)</f>
        <v>1620.0780723021785</v>
      </c>
      <c r="P28" s="573">
        <f>SUM(P25:P27)</f>
        <v>-822.46017072871985</v>
      </c>
      <c r="Q28" s="574">
        <f t="shared" si="2"/>
        <v>-2442.5382430308982</v>
      </c>
      <c r="R28" s="575">
        <f>SUM(R25:R27)</f>
        <v>944.69292409906711</v>
      </c>
      <c r="S28" s="576">
        <f t="shared" si="3"/>
        <v>-1767.1530948277868</v>
      </c>
      <c r="T28" s="572">
        <f>SUM(T25:T27)</f>
        <v>25530.376867219638</v>
      </c>
      <c r="U28" s="573">
        <f>SUM(U25:U27)</f>
        <v>11192.33274102</v>
      </c>
      <c r="V28" s="574">
        <f>+U28-T28</f>
        <v>-14338.044126199638</v>
      </c>
      <c r="W28" s="575">
        <f>SUM(W25:W27)</f>
        <v>30273.13673600999</v>
      </c>
      <c r="X28" s="576">
        <f>+U28-W28</f>
        <v>-19080.80399498999</v>
      </c>
      <c r="Y28" s="572">
        <f>SUM(Y25:Y27)</f>
        <v>10223.840482826981</v>
      </c>
      <c r="Z28" s="573">
        <f>SUM(Z25:Z27)</f>
        <v>-3934.0104096412433</v>
      </c>
      <c r="AA28" s="574">
        <f>+Z28-Y28</f>
        <v>-14157.850892468225</v>
      </c>
      <c r="AB28" s="575">
        <f>SUM(AB25:AB27)</f>
        <v>16184.719572751579</v>
      </c>
      <c r="AC28" s="576">
        <f>+Z28-AB28</f>
        <v>-20118.729982392822</v>
      </c>
      <c r="AD28" s="25"/>
    </row>
  </sheetData>
  <mergeCells count="1">
    <mergeCell ref="H5:I7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1" tint="0.34998626667073579"/>
    <pageSetUpPr fitToPage="1"/>
  </sheetPr>
  <dimension ref="A1:AQ78"/>
  <sheetViews>
    <sheetView showGridLines="0" showZeros="0" topLeftCell="E15" zoomScale="85" zoomScaleNormal="85" zoomScaleSheetLayoutView="85" workbookViewId="0">
      <selection activeCell="U27" sqref="U27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12.125" bestFit="1" customWidth="1"/>
    <col min="37" max="37" width="13.625" bestFit="1" customWidth="1"/>
    <col min="38" max="38" width="9.25" bestFit="1" customWidth="1"/>
    <col min="39" max="39" width="8.25" customWidth="1"/>
    <col min="41" max="41" width="13.25" bestFit="1" customWidth="1"/>
    <col min="42" max="43" width="9.875" bestFit="1" customWidth="1"/>
  </cols>
  <sheetData>
    <row r="1" spans="1:39" ht="18" customHeight="1" x14ac:dyDescent="0.3">
      <c r="H1" s="4"/>
      <c r="K1" s="6"/>
      <c r="L1" s="6"/>
      <c r="P1" s="6"/>
      <c r="Q1" s="6"/>
    </row>
    <row r="2" spans="1:39" ht="18" customHeight="1" x14ac:dyDescent="0.3">
      <c r="H2" s="7"/>
      <c r="AD2" s="5"/>
      <c r="AG2" s="5"/>
    </row>
    <row r="3" spans="1:39" ht="26.25" x14ac:dyDescent="0.3">
      <c r="H3" s="4" t="s">
        <v>216</v>
      </c>
      <c r="AD3" s="5"/>
      <c r="AG3" s="5"/>
    </row>
    <row r="4" spans="1:39" ht="18" customHeight="1" x14ac:dyDescent="0.3">
      <c r="H4" s="7"/>
      <c r="AD4" s="5"/>
      <c r="AG4" s="5" t="s">
        <v>77</v>
      </c>
    </row>
    <row r="5" spans="1:39" s="8" customFormat="1" ht="19.5" customHeight="1" x14ac:dyDescent="0.3">
      <c r="G5" s="334"/>
      <c r="H5" s="602" t="s">
        <v>35</v>
      </c>
      <c r="I5" s="603"/>
      <c r="J5" s="158" t="s">
        <v>51</v>
      </c>
      <c r="K5" s="159"/>
      <c r="L5" s="159"/>
      <c r="M5" s="159"/>
      <c r="N5" s="160"/>
      <c r="O5" s="158" t="s">
        <v>52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9" s="8" customFormat="1" ht="19.5" customHeight="1" x14ac:dyDescent="0.3">
      <c r="A6" s="8" t="s">
        <v>212</v>
      </c>
      <c r="G6" s="334"/>
      <c r="H6" s="604"/>
      <c r="I6" s="601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9" s="8" customFormat="1" ht="22.5" customHeight="1" x14ac:dyDescent="0.3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+IFERROR(HLOOKUP($B7,'[1]10월'!$D$6:$BN$259,2,),)/1000</f>
        <v>35</v>
      </c>
      <c r="K7" s="36">
        <f>+IFERROR(HLOOKUP($B7,'[2]10월'!$F$6:$CP$99,2,),)/1000</f>
        <v>29.010999999999999</v>
      </c>
      <c r="L7" s="37">
        <f t="shared" ref="L7:L26" si="0">+K7-J7</f>
        <v>-5.9890000000000008</v>
      </c>
      <c r="M7" s="38">
        <f>+IFERROR(HLOOKUP($B7,'[3]10월'!$F$6:$CC$57,2,),)/1000</f>
        <v>39.055</v>
      </c>
      <c r="N7" s="39">
        <f>+K7-M7</f>
        <v>-10.044</v>
      </c>
      <c r="O7" s="35">
        <f>+IFERROR(HLOOKUP($B7,'[1]10월'!$D$6:$BN$259,3,),)/1000</f>
        <v>3561.9535200000005</v>
      </c>
      <c r="P7" s="36">
        <f>+IFERROR(HLOOKUP($B7,'[2]10월'!$F$6:$CP$99,3,),)/1000</f>
        <v>2833.12617</v>
      </c>
      <c r="Q7" s="37">
        <f>+P7-O7</f>
        <v>-728.82735000000048</v>
      </c>
      <c r="R7" s="38">
        <f>+IFERROR(HLOOKUP($B7,'[3]10월'!$F$6:$CC$57,3,),)/1000</f>
        <v>3682.4273119999998</v>
      </c>
      <c r="S7" s="39">
        <f>+P7-R7</f>
        <v>-849.3011419999998</v>
      </c>
      <c r="T7" s="35">
        <f>+IFERROR(HLOOKUP($B7,'[1]10월'!$D$6:$BN$259,16,),)/1000</f>
        <v>415.60971081550616</v>
      </c>
      <c r="U7" s="36">
        <f>+IFERROR(HLOOKUP($B7,'[2]10월'!$F$6:$CP$99,16,),)/1000</f>
        <v>233.33185899999987</v>
      </c>
      <c r="V7" s="40">
        <f>+U7-T7</f>
        <v>-182.2778518155063</v>
      </c>
      <c r="W7" s="41">
        <f>+IFERROR(HLOOKUP($B7,'[3]10월'!$F$6:$CC$57,16,),)/1000</f>
        <v>151.42127199999979</v>
      </c>
      <c r="X7" s="39">
        <f>+U7-W7</f>
        <v>81.910587000000078</v>
      </c>
      <c r="Y7" s="35">
        <f>+[4]안양!$Q$85</f>
        <v>101770.10057142859</v>
      </c>
      <c r="Z7" s="36">
        <f>+[4]안양!$R$85</f>
        <v>97656.963565544109</v>
      </c>
      <c r="AA7" s="42">
        <f>+[5]안양!$Q$85</f>
        <v>94288.242529765717</v>
      </c>
      <c r="AB7" s="43">
        <f>+[4]안양!$Q$89</f>
        <v>81611.790265098229</v>
      </c>
      <c r="AC7" s="36">
        <f>+[4]안양!$R$89</f>
        <v>78918.014146559726</v>
      </c>
      <c r="AD7" s="44">
        <f>+[5]안양!$Q$89</f>
        <v>82720.758054197926</v>
      </c>
      <c r="AE7" s="43">
        <f>+Y7-AB7</f>
        <v>20158.310306330357</v>
      </c>
      <c r="AF7" s="36">
        <f>+Z7-AC7</f>
        <v>18738.949418984383</v>
      </c>
      <c r="AG7" s="44">
        <f>+AA7-AD7</f>
        <v>11567.484475567791</v>
      </c>
      <c r="AH7" s="17"/>
      <c r="AI7" s="18"/>
      <c r="AJ7" s="484"/>
      <c r="AK7" s="484"/>
    </row>
    <row r="8" spans="1:39" s="8" customFormat="1" ht="22.5" customHeight="1" x14ac:dyDescent="0.3">
      <c r="B8" s="8" t="s">
        <v>19</v>
      </c>
      <c r="G8" s="336" t="str">
        <f t="shared" ref="G8:G26" si="1">+I8</f>
        <v>인천</v>
      </c>
      <c r="H8" s="74" t="s">
        <v>41</v>
      </c>
      <c r="I8" s="75" t="s">
        <v>19</v>
      </c>
      <c r="J8" s="45">
        <f>+IFERROR(HLOOKUP($B8,'[1]10월'!$D$6:$BN$259,2,),)/1000</f>
        <v>26</v>
      </c>
      <c r="K8" s="46">
        <f>+IFERROR(HLOOKUP($B8,'[2]10월'!$F$6:$CP$99,2,),)/1000</f>
        <v>26.297000000000001</v>
      </c>
      <c r="L8" s="47">
        <f t="shared" si="0"/>
        <v>0.2970000000000006</v>
      </c>
      <c r="M8" s="48">
        <f>+IFERROR(HLOOKUP($B8,'[3]10월'!$F$6:$CC$57,2,),)/1000</f>
        <v>26.460999999999999</v>
      </c>
      <c r="N8" s="49">
        <f t="shared" ref="N8:N26" si="2">+K8-M8</f>
        <v>-0.16399999999999793</v>
      </c>
      <c r="O8" s="45">
        <f>+IFERROR(HLOOKUP($B8,'[1]10월'!$D$6:$BN$259,3,),)/1000</f>
        <v>2693.9932179409388</v>
      </c>
      <c r="P8" s="46">
        <f>+IFERROR(HLOOKUP($B8,'[2]10월'!$F$6:$CP$99,3,),)/1000</f>
        <v>2442.478126</v>
      </c>
      <c r="Q8" s="47">
        <f t="shared" ref="Q8:Q26" si="3">+P8-O8</f>
        <v>-251.51509194093887</v>
      </c>
      <c r="R8" s="48">
        <f>+IFERROR(HLOOKUP($B8,'[3]10월'!$F$6:$CC$57,3,),)/1000</f>
        <v>2558.609062</v>
      </c>
      <c r="S8" s="49">
        <f t="shared" ref="S8:S26" si="4">+P8-R8</f>
        <v>-116.13093600000002</v>
      </c>
      <c r="T8" s="45">
        <f>+IFERROR(HLOOKUP($B8,'[1]10월'!$D$6:$BN$259,16,),)/1000</f>
        <v>237.49323523752415</v>
      </c>
      <c r="U8" s="46">
        <f>+IFERROR(HLOOKUP($B8,'[2]10월'!$F$6:$CP$99,16,),)/1000</f>
        <v>-104.18711198999978</v>
      </c>
      <c r="V8" s="47">
        <f t="shared" ref="V8:V26" si="5">+U8-T8</f>
        <v>-341.68034722752395</v>
      </c>
      <c r="W8" s="48">
        <f>+IFERROR(HLOOKUP($B8,'[3]10월'!$F$6:$CC$57,16,),)/1000</f>
        <v>63.89365999999972</v>
      </c>
      <c r="X8" s="49">
        <f t="shared" ref="X8:X26" si="6">+U8-W8</f>
        <v>-168.0807719899995</v>
      </c>
      <c r="Y8" s="45">
        <f>+[4]인천!$Q$85</f>
        <v>103615.12376695918</v>
      </c>
      <c r="Z8" s="46">
        <f>+[4]인천!$R$85</f>
        <v>92880.485454614594</v>
      </c>
      <c r="AA8" s="50">
        <f>+[5]인천!$Q$85</f>
        <v>96693.589131174173</v>
      </c>
      <c r="AB8" s="51">
        <f>+[4]인천!$Q$89</f>
        <v>83139.383914223989</v>
      </c>
      <c r="AC8" s="46">
        <f>+[4]인천!$R$89</f>
        <v>84696.300574078996</v>
      </c>
      <c r="AD8" s="52">
        <f>+[5]인천!$Q$89</f>
        <v>82558.134593952011</v>
      </c>
      <c r="AE8" s="51">
        <f t="shared" ref="AE8:AE27" si="7">+Y8-AB8</f>
        <v>20475.739852735191</v>
      </c>
      <c r="AF8" s="46">
        <f t="shared" ref="AF8:AF27" si="8">+Z8-AC8</f>
        <v>8184.1848805355985</v>
      </c>
      <c r="AG8" s="52">
        <f t="shared" ref="AG8:AG27" si="9">+AA8-AD8</f>
        <v>14135.454537222162</v>
      </c>
      <c r="AH8" s="17"/>
      <c r="AI8" s="18"/>
      <c r="AJ8" s="484"/>
      <c r="AK8" s="484"/>
    </row>
    <row r="9" spans="1:39" s="8" customFormat="1" ht="22.5" customHeight="1" x14ac:dyDescent="0.3">
      <c r="B9" s="8" t="s">
        <v>20</v>
      </c>
      <c r="G9" s="336" t="str">
        <f t="shared" si="1"/>
        <v>파주</v>
      </c>
      <c r="H9" s="74"/>
      <c r="I9" s="75" t="s">
        <v>20</v>
      </c>
      <c r="J9" s="45">
        <f>+IFERROR(HLOOKUP($B9,'[1]10월'!$D$6:$BN$259,2,),)/1000</f>
        <v>21</v>
      </c>
      <c r="K9" s="46">
        <f>+IFERROR(HLOOKUP($B9,'[2]10월'!$F$6:$CP$99,2,),)/1000</f>
        <v>14.177</v>
      </c>
      <c r="L9" s="47">
        <f t="shared" si="0"/>
        <v>-6.8230000000000004</v>
      </c>
      <c r="M9" s="48">
        <f>+IFERROR(HLOOKUP($B9,'[3]10월'!$F$6:$CC$57,2,),)/1000</f>
        <v>26.27</v>
      </c>
      <c r="N9" s="49">
        <f t="shared" si="2"/>
        <v>-12.093</v>
      </c>
      <c r="O9" s="45">
        <f>+IFERROR(HLOOKUP($B9,'[1]10월'!$D$6:$BN$259,3,),)/1000</f>
        <v>2020.3202471999998</v>
      </c>
      <c r="P9" s="46">
        <f>+IFERROR(HLOOKUP($B9,'[2]10월'!$F$6:$CP$99,3,),)/1000</f>
        <v>1282.2996000000001</v>
      </c>
      <c r="Q9" s="47">
        <f t="shared" si="3"/>
        <v>-738.02064719999976</v>
      </c>
      <c r="R9" s="48">
        <f>+IFERROR(HLOOKUP($B9,'[3]10월'!$F$6:$CC$57,3,),)/1000</f>
        <v>2323.4230339999999</v>
      </c>
      <c r="S9" s="49">
        <f t="shared" si="4"/>
        <v>-1041.1234339999999</v>
      </c>
      <c r="T9" s="45">
        <f>+IFERROR(HLOOKUP($B9,'[1]10월'!$D$6:$BN$259,16,),)/1000</f>
        <v>90.273885440254929</v>
      </c>
      <c r="U9" s="46">
        <f>+IFERROR(HLOOKUP($B9,'[2]10월'!$F$6:$CP$99,16,),)/1000</f>
        <v>-62.289172000000107</v>
      </c>
      <c r="V9" s="47">
        <f t="shared" si="5"/>
        <v>-152.56305744025502</v>
      </c>
      <c r="W9" s="48">
        <f>+IFERROR(HLOOKUP($B9,'[3]10월'!$F$6:$CC$57,16,),)/1000</f>
        <v>73.44867799999983</v>
      </c>
      <c r="X9" s="49">
        <f t="shared" si="6"/>
        <v>-135.73784999999992</v>
      </c>
      <c r="Y9" s="45">
        <f>+[4]파주!$Q$85</f>
        <v>96205.726057142849</v>
      </c>
      <c r="Z9" s="46">
        <f>+[4]파주!$R$85</f>
        <v>90400.804482114632</v>
      </c>
      <c r="AA9" s="50">
        <f>+[5]파주!$Q$85</f>
        <v>88417.961797580763</v>
      </c>
      <c r="AB9" s="51">
        <f>+[4]파주!$Q$89</f>
        <v>81454.567504515682</v>
      </c>
      <c r="AC9" s="46">
        <f>+[4]파주!$R$89</f>
        <v>79486.703275391483</v>
      </c>
      <c r="AD9" s="52">
        <f>+[5]파주!$Q$89</f>
        <v>77319.907594549077</v>
      </c>
      <c r="AE9" s="51">
        <f t="shared" si="7"/>
        <v>14751.158552627167</v>
      </c>
      <c r="AF9" s="46">
        <f t="shared" si="8"/>
        <v>10914.10120672315</v>
      </c>
      <c r="AG9" s="52">
        <f t="shared" si="9"/>
        <v>11098.054203031686</v>
      </c>
      <c r="AH9" s="17"/>
      <c r="AI9" s="18"/>
      <c r="AJ9" s="484"/>
      <c r="AK9" s="488"/>
    </row>
    <row r="10" spans="1:39" s="8" customFormat="1" ht="22.5" customHeight="1" x14ac:dyDescent="0.3">
      <c r="B10" s="8" t="s">
        <v>110</v>
      </c>
      <c r="G10" s="336" t="str">
        <f t="shared" si="1"/>
        <v>김포</v>
      </c>
      <c r="H10" s="74"/>
      <c r="I10" s="75" t="s">
        <v>108</v>
      </c>
      <c r="J10" s="45">
        <f>+IFERROR(HLOOKUP($B10,'[1]10월'!$D$6:$BN$259,2,),)/1000</f>
        <v>14</v>
      </c>
      <c r="K10" s="46">
        <f>+IFERROR(HLOOKUP($B10,'[2]10월'!$F$6:$CP$99,2,),)/1000</f>
        <v>9.5365000000000002</v>
      </c>
      <c r="L10" s="47">
        <f t="shared" si="0"/>
        <v>-4.4634999999999998</v>
      </c>
      <c r="M10" s="48">
        <f>+IFERROR(HLOOKUP($B10,'[3]10월'!$F$6:$CC$57,2,),)/1000</f>
        <v>12.124000000000001</v>
      </c>
      <c r="N10" s="49">
        <f t="shared" si="2"/>
        <v>-2.5875000000000004</v>
      </c>
      <c r="O10" s="45">
        <f>+IFERROR(HLOOKUP($B10,'[1]10월'!$D$6:$BN$259,3,),)/1000</f>
        <v>1330.3874499999999</v>
      </c>
      <c r="P10" s="46">
        <f>+IFERROR(HLOOKUP($B10,'[2]10월'!$F$6:$CP$99,3,),)/1000</f>
        <v>922.48441999999989</v>
      </c>
      <c r="Q10" s="47">
        <f t="shared" si="3"/>
        <v>-407.90303000000006</v>
      </c>
      <c r="R10" s="48">
        <f>+IFERROR(HLOOKUP($B10,'[3]10월'!$F$6:$CC$57,3,),)/1000</f>
        <v>1149.060604</v>
      </c>
      <c r="S10" s="49">
        <f t="shared" si="4"/>
        <v>-226.57618400000013</v>
      </c>
      <c r="T10" s="45">
        <f>+IFERROR(HLOOKUP($B10,'[1]10월'!$D$6:$BN$259,16,),)/1000</f>
        <v>84.478736980823399</v>
      </c>
      <c r="U10" s="46">
        <f>+IFERROR(HLOOKUP($B10,'[2]10월'!$F$6:$CP$99,16,),)/1000</f>
        <v>5.8503719999998935</v>
      </c>
      <c r="V10" s="47">
        <f t="shared" si="5"/>
        <v>-78.628364980823505</v>
      </c>
      <c r="W10" s="48">
        <f>+IFERROR(HLOOKUP($B10,'[3]10월'!$F$6:$CC$57,16,),)/1000</f>
        <v>74.662069000000059</v>
      </c>
      <c r="X10" s="49">
        <f t="shared" si="6"/>
        <v>-68.811697000000166</v>
      </c>
      <c r="Y10" s="45">
        <f>+[4]김포!$Q$85</f>
        <v>95027.675000000003</v>
      </c>
      <c r="Z10" s="46">
        <f>+[4]김포!$R$85</f>
        <v>96819.911063487802</v>
      </c>
      <c r="AA10" s="50">
        <f>+[5]김포!$Q$85</f>
        <v>94775.701418673707</v>
      </c>
      <c r="AB10" s="51">
        <f>+[4]김포!$Q$89</f>
        <v>77009.611683909432</v>
      </c>
      <c r="AC10" s="46">
        <f>+[4]김포!$R$89</f>
        <v>78178.96137155102</v>
      </c>
      <c r="AD10" s="52">
        <f>+[5]김포!$Q$89</f>
        <v>75594.088914549662</v>
      </c>
      <c r="AE10" s="51">
        <f t="shared" si="7"/>
        <v>18018.063316090571</v>
      </c>
      <c r="AF10" s="46">
        <f t="shared" si="8"/>
        <v>18640.949691936781</v>
      </c>
      <c r="AG10" s="52">
        <f t="shared" si="9"/>
        <v>19181.612504124045</v>
      </c>
      <c r="AH10" s="17"/>
      <c r="AI10" s="18"/>
      <c r="AJ10" s="484"/>
      <c r="AK10" s="488"/>
    </row>
    <row r="11" spans="1:39" s="8" customFormat="1" ht="22.5" customHeight="1" x14ac:dyDescent="0.3">
      <c r="B11" s="8" t="s">
        <v>21</v>
      </c>
      <c r="G11" s="334" t="str">
        <f t="shared" si="1"/>
        <v>부산</v>
      </c>
      <c r="H11" s="74"/>
      <c r="I11" s="76" t="s">
        <v>21</v>
      </c>
      <c r="J11" s="62">
        <f>+IFERROR(HLOOKUP($B11,'[1]10월'!$D$6:$BN$259,2,),)/1000</f>
        <v>19</v>
      </c>
      <c r="K11" s="63">
        <f>+IFERROR(HLOOKUP($B11,'[2]10월'!$F$6:$CP$99,2,),)/1000</f>
        <v>17.712</v>
      </c>
      <c r="L11" s="64">
        <f t="shared" si="0"/>
        <v>-1.2880000000000003</v>
      </c>
      <c r="M11" s="65">
        <f>+IFERROR(HLOOKUP($B11,'[3]10월'!$F$6:$CC$57,2,),)/1000</f>
        <v>16.751999999999999</v>
      </c>
      <c r="N11" s="66">
        <f t="shared" si="2"/>
        <v>0.96000000000000085</v>
      </c>
      <c r="O11" s="62">
        <f>+IFERROR(HLOOKUP($B11,'[1]10월'!$D$6:$BN$259,3,),)/1000</f>
        <v>2046.3003883599999</v>
      </c>
      <c r="P11" s="63">
        <f>+IFERROR(HLOOKUP($B11,'[2]10월'!$F$6:$CP$99,3,),)/1000</f>
        <v>1942.1621</v>
      </c>
      <c r="Q11" s="64">
        <f t="shared" si="3"/>
        <v>-104.13828835999993</v>
      </c>
      <c r="R11" s="65">
        <f>+IFERROR(HLOOKUP($B11,'[3]10월'!$F$6:$CC$57,3,),)/1000</f>
        <v>1728.9811599999998</v>
      </c>
      <c r="S11" s="66">
        <f t="shared" si="4"/>
        <v>213.18094000000019</v>
      </c>
      <c r="T11" s="62">
        <f>+IFERROR(HLOOKUP($B11,'[1]10월'!$D$6:$BN$259,16,),)/1000</f>
        <v>166.34785653224458</v>
      </c>
      <c r="U11" s="63">
        <f>+IFERROR(HLOOKUP($B11,'[2]10월'!$F$6:$CP$99,16,),)/1000</f>
        <v>113.69739100000014</v>
      </c>
      <c r="V11" s="64">
        <f t="shared" si="5"/>
        <v>-52.650465532244439</v>
      </c>
      <c r="W11" s="65">
        <f>+IFERROR(HLOOKUP($B11,'[3]10월'!$F$6:$CC$57,16,),)/1000</f>
        <v>57.651192999999957</v>
      </c>
      <c r="X11" s="66">
        <f t="shared" si="6"/>
        <v>56.046198000000182</v>
      </c>
      <c r="Y11" s="62">
        <f>+[4]부산!$Q$85</f>
        <v>107700.02044000001</v>
      </c>
      <c r="Z11" s="63">
        <f>+[4]부산!$R$85</f>
        <v>109652.3317524842</v>
      </c>
      <c r="AA11" s="67">
        <f>+[5]부산!$Q$85</f>
        <v>103210.43218720151</v>
      </c>
      <c r="AB11" s="68">
        <f>+[4]부산!$Q$89</f>
        <v>85358.086263170728</v>
      </c>
      <c r="AC11" s="63">
        <f>+[4]부산!$R$89</f>
        <v>88816.139566395679</v>
      </c>
      <c r="AD11" s="69">
        <f>+[5]부산!$Q$89</f>
        <v>83827.019807887351</v>
      </c>
      <c r="AE11" s="68">
        <f t="shared" si="7"/>
        <v>22341.93417682928</v>
      </c>
      <c r="AF11" s="63">
        <f t="shared" si="8"/>
        <v>20836.19218608852</v>
      </c>
      <c r="AG11" s="69">
        <f t="shared" si="9"/>
        <v>19383.412379314163</v>
      </c>
      <c r="AH11" s="17"/>
      <c r="AI11" s="18"/>
      <c r="AJ11" s="490"/>
      <c r="AK11" s="484"/>
      <c r="AL11" s="488"/>
      <c r="AM11" s="86"/>
    </row>
    <row r="12" spans="1:39" s="8" customFormat="1" ht="22.5" customHeight="1" x14ac:dyDescent="0.3">
      <c r="B12" s="8" t="s">
        <v>22</v>
      </c>
      <c r="G12" s="334" t="str">
        <f t="shared" si="1"/>
        <v>서부산</v>
      </c>
      <c r="H12" s="74"/>
      <c r="I12" s="75" t="s">
        <v>22</v>
      </c>
      <c r="J12" s="45">
        <f>+IFERROR(HLOOKUP($B12,'[1]10월'!$D$6:$BN$259,2,),)/1000</f>
        <v>19</v>
      </c>
      <c r="K12" s="46">
        <f>+IFERROR(HLOOKUP($B12,'[2]10월'!$F$6:$CP$99,2,),)/1000</f>
        <v>20.565000000000001</v>
      </c>
      <c r="L12" s="47">
        <f t="shared" si="0"/>
        <v>1.5650000000000013</v>
      </c>
      <c r="M12" s="48">
        <f>+IFERROR(HLOOKUP($B12,'[3]10월'!$F$6:$CC$57,2,),)/1000</f>
        <v>19.663</v>
      </c>
      <c r="N12" s="49">
        <f t="shared" si="2"/>
        <v>0.90200000000000102</v>
      </c>
      <c r="O12" s="45">
        <f>+IFERROR(HLOOKUP($B12,'[1]10월'!$D$6:$BN$259,3,),)/1000</f>
        <v>1886.7073240000009</v>
      </c>
      <c r="P12" s="46">
        <f>+IFERROR(HLOOKUP($B12,'[2]10월'!$F$6:$CP$99,3,),)/1000</f>
        <v>2041.1455000000001</v>
      </c>
      <c r="Q12" s="47">
        <f t="shared" si="3"/>
        <v>154.4381759999992</v>
      </c>
      <c r="R12" s="48">
        <f>+IFERROR(HLOOKUP($B12,'[3]10월'!$F$6:$CC$57,3,),)/1000</f>
        <v>1865.551917</v>
      </c>
      <c r="S12" s="49">
        <f t="shared" si="4"/>
        <v>175.59358300000008</v>
      </c>
      <c r="T12" s="45">
        <f>+IFERROR(HLOOKUP($B12,'[1]10월'!$D$6:$BN$259,16,),)/1000</f>
        <v>178.71898030460724</v>
      </c>
      <c r="U12" s="46">
        <f>+IFERROR(HLOOKUP($B12,'[2]10월'!$F$6:$CP$99,16,),)/1000</f>
        <v>182.61006500000011</v>
      </c>
      <c r="V12" s="47">
        <f t="shared" si="5"/>
        <v>3.8910846953928626</v>
      </c>
      <c r="W12" s="48">
        <f>+IFERROR(HLOOKUP($B12,'[3]10월'!$F$6:$CC$57,16,),)/1000</f>
        <v>132.60605799999979</v>
      </c>
      <c r="X12" s="49">
        <f t="shared" si="6"/>
        <v>50.004007000000314</v>
      </c>
      <c r="Y12" s="45">
        <f>+[4]서부산!$Q$85</f>
        <v>99300.385473684262</v>
      </c>
      <c r="Z12" s="46">
        <f>+[4]서부산!$R$85</f>
        <v>99253.367371748114</v>
      </c>
      <c r="AA12" s="50">
        <f>+[5]서부산!$Q$85</f>
        <v>94876.26084524233</v>
      </c>
      <c r="AB12" s="51">
        <f>+[4]서부산!$Q$89</f>
        <v>78051.441381628902</v>
      </c>
      <c r="AC12" s="46">
        <f>+[4]서부산!$R$89</f>
        <v>79067.724967269547</v>
      </c>
      <c r="AD12" s="52">
        <f>+[5]서부산!$Q$89</f>
        <v>77092.366140393497</v>
      </c>
      <c r="AE12" s="51">
        <f t="shared" si="7"/>
        <v>21248.944092055361</v>
      </c>
      <c r="AF12" s="46">
        <f t="shared" si="8"/>
        <v>20185.642404478567</v>
      </c>
      <c r="AG12" s="52">
        <f t="shared" si="9"/>
        <v>17783.894704848833</v>
      </c>
      <c r="AH12" s="17"/>
      <c r="AI12" s="18"/>
      <c r="AJ12" s="484"/>
      <c r="AK12" s="488"/>
    </row>
    <row r="13" spans="1:39" s="8" customFormat="1" ht="22.5" customHeight="1" x14ac:dyDescent="0.3">
      <c r="B13" s="8" t="s">
        <v>23</v>
      </c>
      <c r="G13" s="334" t="str">
        <f t="shared" si="1"/>
        <v>김해</v>
      </c>
      <c r="H13" s="74"/>
      <c r="I13" s="75" t="s">
        <v>23</v>
      </c>
      <c r="J13" s="45">
        <f>+IFERROR(HLOOKUP($B13,'[1]10월'!$D$6:$BN$259,2,),)/1000</f>
        <v>16</v>
      </c>
      <c r="K13" s="46">
        <f>+IFERROR(HLOOKUP($B13,'[2]10월'!$F$6:$CP$99,2,),)/1000</f>
        <v>6.5209999999999999</v>
      </c>
      <c r="L13" s="47">
        <f t="shared" si="0"/>
        <v>-9.4789999999999992</v>
      </c>
      <c r="M13" s="48">
        <f>+IFERROR(HLOOKUP($B13,'[3]10월'!$F$6:$CC$57,2,),)/1000</f>
        <v>13.654999999999999</v>
      </c>
      <c r="N13" s="49">
        <f t="shared" si="2"/>
        <v>-7.1339999999999995</v>
      </c>
      <c r="O13" s="45">
        <f>+IFERROR(HLOOKUP($B13,'[1]10월'!$D$6:$BN$259,3,),)/1000</f>
        <v>1540.7966999999999</v>
      </c>
      <c r="P13" s="46">
        <f>+IFERROR(HLOOKUP($B13,'[2]10월'!$F$6:$CP$99,3,),)/1000</f>
        <v>629.40069999999992</v>
      </c>
      <c r="Q13" s="47">
        <f t="shared" si="3"/>
        <v>-911.39599999999996</v>
      </c>
      <c r="R13" s="48">
        <f>+IFERROR(HLOOKUP($B13,'[3]10월'!$F$6:$CC$57,3,),)/1000</f>
        <v>1233.9870000000001</v>
      </c>
      <c r="S13" s="49">
        <f t="shared" si="4"/>
        <v>-604.58630000000016</v>
      </c>
      <c r="T13" s="45">
        <f>+IFERROR(HLOOKUP($B13,'[1]10월'!$D$6:$BN$259,16,),)/1000</f>
        <v>147.10502384574576</v>
      </c>
      <c r="U13" s="46">
        <f>+IFERROR(HLOOKUP($B13,'[2]10월'!$F$6:$CP$99,16,),)/1000</f>
        <v>-38.691111000000127</v>
      </c>
      <c r="V13" s="47">
        <f t="shared" si="5"/>
        <v>-185.79613484574588</v>
      </c>
      <c r="W13" s="48">
        <f>+IFERROR(HLOOKUP($B13,'[3]10월'!$F$6:$CC$57,16,),)/1000</f>
        <v>10.39804699999997</v>
      </c>
      <c r="X13" s="49">
        <f t="shared" si="6"/>
        <v>-49.089158000000097</v>
      </c>
      <c r="Y13" s="45">
        <f>+[4]김해!$Q$85</f>
        <v>96299.793749999997</v>
      </c>
      <c r="Z13" s="46">
        <f>+[4]김해!$R$85</f>
        <v>96519.046158564641</v>
      </c>
      <c r="AA13" s="50">
        <f>+[5]김해!$Q$85</f>
        <v>90368.87586964482</v>
      </c>
      <c r="AB13" s="51">
        <f>+[4]김해!$Q$89</f>
        <v>77583.785523529776</v>
      </c>
      <c r="AC13" s="46">
        <f>+[4]김해!$R$89</f>
        <v>80973.756632418343</v>
      </c>
      <c r="AD13" s="52">
        <f>+[5]김해!$Q$89</f>
        <v>78384.071402416681</v>
      </c>
      <c r="AE13" s="51">
        <f t="shared" si="7"/>
        <v>18716.008226470221</v>
      </c>
      <c r="AF13" s="46">
        <f t="shared" si="8"/>
        <v>15545.289526146298</v>
      </c>
      <c r="AG13" s="52">
        <f t="shared" si="9"/>
        <v>11984.804467228139</v>
      </c>
      <c r="AH13" s="17"/>
      <c r="AI13" s="18"/>
      <c r="AJ13" s="484"/>
      <c r="AK13" s="488"/>
    </row>
    <row r="14" spans="1:39" s="8" customFormat="1" ht="22.5" customHeight="1" x14ac:dyDescent="0.3">
      <c r="B14" s="8" t="s">
        <v>24</v>
      </c>
      <c r="G14" s="334" t="str">
        <f t="shared" si="1"/>
        <v>정관</v>
      </c>
      <c r="H14" s="74"/>
      <c r="I14" s="75" t="s">
        <v>24</v>
      </c>
      <c r="J14" s="45">
        <f>+IFERROR(HLOOKUP($B14,'[1]10월'!$D$6:$BN$259,2,),)/1000</f>
        <v>18</v>
      </c>
      <c r="K14" s="46">
        <f>+IFERROR(HLOOKUP($B14,'[2]10월'!$F$6:$CP$99,2,),)/1000</f>
        <v>18.136500000000002</v>
      </c>
      <c r="L14" s="47">
        <f t="shared" si="0"/>
        <v>0.13650000000000162</v>
      </c>
      <c r="M14" s="48">
        <f>+IFERROR(HLOOKUP($B14,'[3]10월'!$F$6:$CC$57,2,),)/1000</f>
        <v>21.756</v>
      </c>
      <c r="N14" s="49">
        <f t="shared" si="2"/>
        <v>-3.6194999999999986</v>
      </c>
      <c r="O14" s="45">
        <f>+IFERROR(HLOOKUP($B14,'[1]10월'!$D$6:$BN$259,3,),)/1000</f>
        <v>1836.0076551999998</v>
      </c>
      <c r="P14" s="46">
        <f>+IFERROR(HLOOKUP($B14,'[2]10월'!$F$6:$CP$99,3,),)/1000</f>
        <v>1805.6837</v>
      </c>
      <c r="Q14" s="47">
        <f t="shared" si="3"/>
        <v>-30.323955199999773</v>
      </c>
      <c r="R14" s="48">
        <f>+IFERROR(HLOOKUP($B14,'[3]10월'!$F$6:$CC$57,3,),)/1000</f>
        <v>2122.010722</v>
      </c>
      <c r="S14" s="49">
        <f t="shared" si="4"/>
        <v>-316.32702199999994</v>
      </c>
      <c r="T14" s="45">
        <f>+IFERROR(HLOOKUP($B14,'[1]10월'!$D$6:$BN$259,16,),)/1000</f>
        <v>140.96725293050312</v>
      </c>
      <c r="U14" s="46">
        <f>+IFERROR(HLOOKUP($B14,'[2]10월'!$F$6:$CP$99,16,),)/1000</f>
        <v>70.235028999999955</v>
      </c>
      <c r="V14" s="47">
        <f t="shared" si="5"/>
        <v>-70.732223930503167</v>
      </c>
      <c r="W14" s="48">
        <f>+IFERROR(HLOOKUP($B14,'[3]10월'!$F$6:$CC$57,16,),)/1000</f>
        <v>142.76762600000006</v>
      </c>
      <c r="X14" s="49">
        <f t="shared" si="6"/>
        <v>-72.532597000000109</v>
      </c>
      <c r="Y14" s="45">
        <f>+[4]정관!$Q$85</f>
        <v>102000.42528888889</v>
      </c>
      <c r="Z14" s="46">
        <f>+[4]정관!$R$85</f>
        <v>99560.758691037408</v>
      </c>
      <c r="AA14" s="50">
        <f>+[5]정관!$Q$85</f>
        <v>97536.80465159037</v>
      </c>
      <c r="AB14" s="51">
        <f>+[4]정관!$Q$89</f>
        <v>82546.041885342391</v>
      </c>
      <c r="AC14" s="46">
        <f>+[4]정관!$R$89</f>
        <v>83833.872399062966</v>
      </c>
      <c r="AD14" s="52">
        <f>+[5]정관!$Q$89</f>
        <v>81346.354884661341</v>
      </c>
      <c r="AE14" s="51">
        <f t="shared" si="7"/>
        <v>19454.383403546497</v>
      </c>
      <c r="AF14" s="46">
        <f t="shared" si="8"/>
        <v>15726.886291974442</v>
      </c>
      <c r="AG14" s="52">
        <f t="shared" si="9"/>
        <v>16190.449766929029</v>
      </c>
      <c r="AH14" s="17"/>
      <c r="AI14" s="18"/>
      <c r="AJ14" s="484"/>
      <c r="AK14" s="488"/>
    </row>
    <row r="15" spans="1:39" s="8" customFormat="1" ht="22.5" customHeight="1" x14ac:dyDescent="0.3">
      <c r="B15" s="8" t="s">
        <v>25</v>
      </c>
      <c r="G15" s="334" t="str">
        <f t="shared" si="1"/>
        <v>양산</v>
      </c>
      <c r="H15" s="74"/>
      <c r="I15" s="75" t="s">
        <v>25</v>
      </c>
      <c r="J15" s="45">
        <f>+IFERROR(HLOOKUP($B15,'[1]10월'!$D$6:$BN$259,2,),)/1000</f>
        <v>12</v>
      </c>
      <c r="K15" s="46">
        <f>+IFERROR(HLOOKUP($B15,'[2]10월'!$F$6:$CP$99,2,),)/1000</f>
        <v>3.7959999999999998</v>
      </c>
      <c r="L15" s="47">
        <f t="shared" si="0"/>
        <v>-8.2040000000000006</v>
      </c>
      <c r="M15" s="48">
        <f>+IFERROR(HLOOKUP($B15,'[3]10월'!$F$6:$CC$57,2,),)/1000</f>
        <v>13.907999999999999</v>
      </c>
      <c r="N15" s="49">
        <f t="shared" si="2"/>
        <v>-10.112</v>
      </c>
      <c r="O15" s="45">
        <f>+IFERROR(HLOOKUP($B15,'[1]10월'!$D$6:$BN$259,3,),)/1000</f>
        <v>1132.56</v>
      </c>
      <c r="P15" s="46">
        <f>+IFERROR(HLOOKUP($B15,'[2]10월'!$F$6:$CP$99,3,),)/1000</f>
        <v>346.70580000000001</v>
      </c>
      <c r="Q15" s="47">
        <f t="shared" si="3"/>
        <v>-785.85419999999999</v>
      </c>
      <c r="R15" s="48">
        <f>+IFERROR(HLOOKUP($B15,'[3]10월'!$F$6:$CC$57,3,),)/1000</f>
        <v>1309.0971999999999</v>
      </c>
      <c r="S15" s="49">
        <f t="shared" si="4"/>
        <v>-962.39139999999998</v>
      </c>
      <c r="T15" s="45">
        <f>+IFERROR(HLOOKUP($B15,'[1]10월'!$D$6:$BN$259,16,),)/1000</f>
        <v>111.54796931510573</v>
      </c>
      <c r="U15" s="46">
        <f>+IFERROR(HLOOKUP($B15,'[2]10월'!$F$6:$CP$99,16,),)/1000</f>
        <v>-76.735298000000057</v>
      </c>
      <c r="V15" s="47">
        <f t="shared" si="5"/>
        <v>-188.28326731510577</v>
      </c>
      <c r="W15" s="48">
        <f>+IFERROR(HLOOKUP($B15,'[3]10월'!$F$6:$CC$57,16,),)/1000</f>
        <v>152.35461799999996</v>
      </c>
      <c r="X15" s="49">
        <f t="shared" si="6"/>
        <v>-229.08991600000002</v>
      </c>
      <c r="Y15" s="45">
        <f>+[4]양산!$Q$85</f>
        <v>94380</v>
      </c>
      <c r="Z15" s="46">
        <f>+[4]양산!$R$85</f>
        <v>91334.5100105374</v>
      </c>
      <c r="AA15" s="50">
        <f>+[5]양산!$Q$85</f>
        <v>94125.48173712971</v>
      </c>
      <c r="AB15" s="51">
        <f>+[4]양산!$Q$89</f>
        <v>73434.126603370823</v>
      </c>
      <c r="AC15" s="46">
        <f>+[4]양산!$R$89</f>
        <v>76729.466543730246</v>
      </c>
      <c r="AD15" s="52">
        <f>+[5]양산!$Q$89</f>
        <v>72678.270995110739</v>
      </c>
      <c r="AE15" s="51">
        <f t="shared" si="7"/>
        <v>20945.873396629177</v>
      </c>
      <c r="AF15" s="46">
        <f t="shared" si="8"/>
        <v>14605.043466807154</v>
      </c>
      <c r="AG15" s="52">
        <f t="shared" si="9"/>
        <v>21447.210742018971</v>
      </c>
      <c r="AH15" s="17"/>
      <c r="AI15" s="18"/>
      <c r="AJ15" s="484"/>
      <c r="AK15" s="488"/>
    </row>
    <row r="16" spans="1:39" s="8" customFormat="1" ht="22.5" customHeight="1" x14ac:dyDescent="0.3">
      <c r="B16" s="8" t="s">
        <v>26</v>
      </c>
      <c r="G16" s="334" t="str">
        <f t="shared" si="1"/>
        <v>창원</v>
      </c>
      <c r="H16" s="74"/>
      <c r="I16" s="75" t="s">
        <v>26</v>
      </c>
      <c r="J16" s="45">
        <f>+IFERROR(HLOOKUP($B16,'[1]10월'!$D$6:$BN$259,2,),)/1000</f>
        <v>18</v>
      </c>
      <c r="K16" s="46">
        <f>+IFERROR(HLOOKUP($B16,'[2]10월'!$F$6:$CP$99,2,),)/1000</f>
        <v>7.5629999999999997</v>
      </c>
      <c r="L16" s="47">
        <f t="shared" si="0"/>
        <v>-10.437000000000001</v>
      </c>
      <c r="M16" s="48">
        <f>+IFERROR(HLOOKUP($B16,'[3]10월'!$F$6:$CC$57,2,),)/1000</f>
        <v>14.58</v>
      </c>
      <c r="N16" s="49">
        <f t="shared" si="2"/>
        <v>-7.0170000000000003</v>
      </c>
      <c r="O16" s="45">
        <f>+IFERROR(HLOOKUP($B16,'[1]10월'!$D$6:$BN$259,3,),)/1000</f>
        <v>1801.8046371719997</v>
      </c>
      <c r="P16" s="46">
        <f>+IFERROR(HLOOKUP($B16,'[2]10월'!$F$6:$CP$99,3,),)/1000</f>
        <v>690.5367</v>
      </c>
      <c r="Q16" s="47">
        <f t="shared" si="3"/>
        <v>-1111.2679371719996</v>
      </c>
      <c r="R16" s="48">
        <f>+IFERROR(HLOOKUP($B16,'[3]10월'!$F$6:$CC$57,3,),)/1000</f>
        <v>1357.6853000000001</v>
      </c>
      <c r="S16" s="49">
        <f t="shared" si="4"/>
        <v>-667.1486000000001</v>
      </c>
      <c r="T16" s="45">
        <f>+IFERROR(HLOOKUP($B16,'[1]10월'!$D$6:$BN$259,16,),)/1000</f>
        <v>251.93650081406977</v>
      </c>
      <c r="U16" s="46">
        <f>+IFERROR(HLOOKUP($B16,'[2]10월'!$F$6:$CP$99,16,),)/1000</f>
        <v>-42.600381000000056</v>
      </c>
      <c r="V16" s="47">
        <f t="shared" si="5"/>
        <v>-294.53688181406983</v>
      </c>
      <c r="W16" s="48">
        <f>+IFERROR(HLOOKUP($B16,'[3]10월'!$F$6:$CC$57,16,),)/1000</f>
        <v>76.578861000000131</v>
      </c>
      <c r="X16" s="49">
        <f t="shared" si="6"/>
        <v>-119.17924200000019</v>
      </c>
      <c r="Y16" s="45">
        <f>+[4]창원!$Q$85</f>
        <v>100100.25762066666</v>
      </c>
      <c r="Z16" s="46">
        <f>+[4]창원!$R$85</f>
        <v>91304.60134867116</v>
      </c>
      <c r="AA16" s="50">
        <f>+[5]창원!$Q$85</f>
        <v>93119.705075445818</v>
      </c>
      <c r="AB16" s="51">
        <f>+[4]창원!$Q$89</f>
        <v>76013.850793395322</v>
      </c>
      <c r="AC16" s="46">
        <f>+[4]창원!$R$89</f>
        <v>72525.175327251098</v>
      </c>
      <c r="AD16" s="52">
        <f>+[5]창원!$Q$89</f>
        <v>74871.475240054875</v>
      </c>
      <c r="AE16" s="51">
        <f t="shared" si="7"/>
        <v>24086.406827271334</v>
      </c>
      <c r="AF16" s="46">
        <f t="shared" si="8"/>
        <v>18779.426021420062</v>
      </c>
      <c r="AG16" s="52">
        <f t="shared" si="9"/>
        <v>18248.229835390943</v>
      </c>
      <c r="AH16" s="17"/>
      <c r="AI16" s="18"/>
      <c r="AJ16" s="484"/>
      <c r="AK16" s="488"/>
    </row>
    <row r="17" spans="2:39" s="8" customFormat="1" ht="22.5" customHeight="1" x14ac:dyDescent="0.3">
      <c r="B17" s="8" t="s">
        <v>78</v>
      </c>
      <c r="G17" s="334" t="str">
        <f t="shared" si="1"/>
        <v>대구</v>
      </c>
      <c r="H17" s="74"/>
      <c r="I17" s="75" t="s">
        <v>70</v>
      </c>
      <c r="J17" s="45">
        <f>+IFERROR(HLOOKUP($B17,'[1]10월'!$D$6:$BN$259,2,),)/1000</f>
        <v>12</v>
      </c>
      <c r="K17" s="46">
        <f>+IFERROR(HLOOKUP($B17,'[2]10월'!$F$6:$CP$99,2,),)/1000</f>
        <v>6.8789999999999996</v>
      </c>
      <c r="L17" s="47">
        <f t="shared" si="0"/>
        <v>-5.1210000000000004</v>
      </c>
      <c r="M17" s="48">
        <f>+IFERROR(HLOOKUP($B17,'[3]10월'!$F$6:$CC$57,2,),)/1000</f>
        <v>15.64</v>
      </c>
      <c r="N17" s="49">
        <f t="shared" si="2"/>
        <v>-8.761000000000001</v>
      </c>
      <c r="O17" s="45">
        <f>+IFERROR(HLOOKUP($B17,'[1]10월'!$D$6:$BN$259,3,),)/1000</f>
        <v>1167.0316826086957</v>
      </c>
      <c r="P17" s="46">
        <f>+IFERROR(HLOOKUP($B17,'[2]10월'!$F$6:$CP$99,3,),)/1000</f>
        <v>594.28798199999994</v>
      </c>
      <c r="Q17" s="47">
        <f t="shared" si="3"/>
        <v>-572.7437006086958</v>
      </c>
      <c r="R17" s="48">
        <f>+IFERROR(HLOOKUP($B17,'[3]10월'!$F$6:$CC$57,3,),)/1000</f>
        <v>1465.48405</v>
      </c>
      <c r="S17" s="49">
        <f t="shared" si="4"/>
        <v>-871.19606800000008</v>
      </c>
      <c r="T17" s="45">
        <f>+IFERROR(HLOOKUP($B17,'[1]10월'!$D$6:$BN$259,16,),)/1000</f>
        <v>112.899386292323</v>
      </c>
      <c r="U17" s="46">
        <f>+IFERROR(HLOOKUP($B17,'[2]10월'!$F$6:$CP$99,16,),)/1000</f>
        <v>-60.636871999999997</v>
      </c>
      <c r="V17" s="47">
        <f t="shared" si="5"/>
        <v>-173.536258292323</v>
      </c>
      <c r="W17" s="48">
        <f>+IFERROR(HLOOKUP($B17,'[3]10월'!$F$6:$CC$57,16,),)/1000</f>
        <v>100.63415100000014</v>
      </c>
      <c r="X17" s="49">
        <f t="shared" si="6"/>
        <v>-161.27102300000013</v>
      </c>
      <c r="Y17" s="45">
        <f>+[4]대구!$Q$85</f>
        <v>97252.640217391308</v>
      </c>
      <c r="Z17" s="46">
        <f>+[4]대구!$R$85</f>
        <v>86391.624073266459</v>
      </c>
      <c r="AA17" s="50">
        <f>+[5]대구!$Q$85</f>
        <v>93698.609335038374</v>
      </c>
      <c r="AB17" s="51">
        <f>+[4]대구!$Q$89</f>
        <v>73374.505027028848</v>
      </c>
      <c r="AC17" s="46">
        <f>+[4]대구!$R$89</f>
        <v>74755.374909143778</v>
      </c>
      <c r="AD17" s="52">
        <f>+[5]대구!$Q$89</f>
        <v>76355.668606138104</v>
      </c>
      <c r="AE17" s="51">
        <f t="shared" si="7"/>
        <v>23878.13519036246</v>
      </c>
      <c r="AF17" s="46">
        <f t="shared" si="8"/>
        <v>11636.249164122681</v>
      </c>
      <c r="AG17" s="52">
        <f t="shared" si="9"/>
        <v>17342.94072890027</v>
      </c>
      <c r="AH17" s="17"/>
      <c r="AI17" s="18"/>
      <c r="AJ17" s="484"/>
      <c r="AK17" s="488"/>
    </row>
    <row r="18" spans="2:39" s="8" customFormat="1" ht="22.5" customHeight="1" x14ac:dyDescent="0.3">
      <c r="B18" s="8" t="s">
        <v>79</v>
      </c>
      <c r="G18" s="336" t="str">
        <f t="shared" si="1"/>
        <v>울산</v>
      </c>
      <c r="H18" s="74"/>
      <c r="I18" s="77" t="s">
        <v>71</v>
      </c>
      <c r="J18" s="9">
        <f>+IFERROR(HLOOKUP($B18,'[1]10월'!$D$6:$BN$259,2,),)/1000</f>
        <v>12.5</v>
      </c>
      <c r="K18" s="10">
        <f>+IFERROR(HLOOKUP($B18,'[2]10월'!$F$6:$CP$99,2,),)/1000</f>
        <v>8.5719999999999992</v>
      </c>
      <c r="L18" s="11">
        <f t="shared" si="0"/>
        <v>-3.9280000000000008</v>
      </c>
      <c r="M18" s="12">
        <f>+IFERROR(HLOOKUP($B18,'[3]10월'!$F$6:$CC$57,2,),)/1000</f>
        <v>14.266999999999999</v>
      </c>
      <c r="N18" s="13">
        <f t="shared" si="2"/>
        <v>-5.6950000000000003</v>
      </c>
      <c r="O18" s="9">
        <f>+IFERROR(HLOOKUP($B18,'[1]10월'!$D$6:$BN$259,3,),)/1000</f>
        <v>1302.777</v>
      </c>
      <c r="P18" s="10">
        <f>+IFERROR(HLOOKUP($B18,'[2]10월'!$F$6:$CP$99,3,),)/1000</f>
        <v>908.00350000000003</v>
      </c>
      <c r="Q18" s="11">
        <f t="shared" si="3"/>
        <v>-394.77350000000001</v>
      </c>
      <c r="R18" s="12">
        <f>+IFERROR(HLOOKUP($B18,'[3]10월'!$F$6:$CC$57,3,),)/1000</f>
        <v>1420.6244999999999</v>
      </c>
      <c r="S18" s="13">
        <f t="shared" si="4"/>
        <v>-512.62099999999987</v>
      </c>
      <c r="T18" s="9">
        <f>+IFERROR(HLOOKUP($B18,'[1]10월'!$D$6:$BN$259,16,),)/1000</f>
        <v>135.82855026316662</v>
      </c>
      <c r="U18" s="10">
        <f>+IFERROR(HLOOKUP($B18,'[2]10월'!$F$6:$CP$99,16,),)/1000</f>
        <v>31.56500200000006</v>
      </c>
      <c r="V18" s="11">
        <f t="shared" si="5"/>
        <v>-104.26354826316656</v>
      </c>
      <c r="W18" s="12">
        <f>+IFERROR(HLOOKUP($B18,'[3]10월'!$F$6:$CC$57,16,),)/1000</f>
        <v>157.77048399999995</v>
      </c>
      <c r="X18" s="13">
        <f t="shared" si="6"/>
        <v>-126.20548199999989</v>
      </c>
      <c r="Y18" s="9">
        <f>+[4]울산!$Q$85</f>
        <v>104222.16</v>
      </c>
      <c r="Z18" s="10">
        <f>+[4]울산!$R$85</f>
        <v>105926.67988800746</v>
      </c>
      <c r="AA18" s="14">
        <f>+[5]울산!$Q$85</f>
        <v>99574.157145861085</v>
      </c>
      <c r="AB18" s="15">
        <f>+[4]울산!$Q$89</f>
        <v>81791.333663555619</v>
      </c>
      <c r="AC18" s="10">
        <f>+[4]울산!$R$89</f>
        <v>85389.418688754085</v>
      </c>
      <c r="AD18" s="16">
        <f>+[5]울산!$Q$89</f>
        <v>78942.319363655479</v>
      </c>
      <c r="AE18" s="15">
        <f t="shared" si="7"/>
        <v>22430.826336444385</v>
      </c>
      <c r="AF18" s="10">
        <f t="shared" si="8"/>
        <v>20537.261199253378</v>
      </c>
      <c r="AG18" s="16">
        <f t="shared" si="9"/>
        <v>20631.837782205606</v>
      </c>
      <c r="AH18" s="17"/>
      <c r="AI18" s="18"/>
      <c r="AJ18" s="484"/>
      <c r="AK18" s="488"/>
    </row>
    <row r="19" spans="2:39" s="8" customFormat="1" ht="22.5" customHeight="1" x14ac:dyDescent="0.3">
      <c r="B19" s="8" t="s">
        <v>76</v>
      </c>
      <c r="G19" s="336" t="str">
        <f t="shared" si="1"/>
        <v>아산</v>
      </c>
      <c r="H19" s="74"/>
      <c r="I19" s="75" t="s">
        <v>27</v>
      </c>
      <c r="J19" s="45">
        <f>+IFERROR(HLOOKUP($B19,'[1]10월'!$D$6:$BN$259,2,),)/1000</f>
        <v>21</v>
      </c>
      <c r="K19" s="46">
        <f>+IFERROR(HLOOKUP($B19,'[2]10월'!$F$6:$CP$99,2,),)/1000</f>
        <v>20.895</v>
      </c>
      <c r="L19" s="47">
        <f t="shared" si="0"/>
        <v>-0.10500000000000043</v>
      </c>
      <c r="M19" s="48">
        <f>+IFERROR(HLOOKUP($B19,'[3]10월'!$F$6:$CC$57,2,),)/1000</f>
        <v>35.142499999999998</v>
      </c>
      <c r="N19" s="49">
        <f t="shared" si="2"/>
        <v>-14.247499999999999</v>
      </c>
      <c r="O19" s="45">
        <f>+IFERROR(HLOOKUP($B19,'[1]10월'!$D$6:$BN$259,3,),)/1000</f>
        <v>2163</v>
      </c>
      <c r="P19" s="46">
        <f>+IFERROR(HLOOKUP($B19,'[2]10월'!$F$6:$CP$99,3,),)/1000</f>
        <v>2010.9688719999999</v>
      </c>
      <c r="Q19" s="47">
        <f t="shared" si="3"/>
        <v>-152.03112800000008</v>
      </c>
      <c r="R19" s="48">
        <f>+IFERROR(HLOOKUP($B19,'[3]10월'!$F$6:$CC$57,3,),)/1000</f>
        <v>3417.0639059999999</v>
      </c>
      <c r="S19" s="49">
        <f t="shared" si="4"/>
        <v>-1406.0950339999999</v>
      </c>
      <c r="T19" s="45">
        <f>+IFERROR(HLOOKUP($B19,'[1]10월'!$D$6:$BN$259,16,),)/1000</f>
        <v>281.7495244003332</v>
      </c>
      <c r="U19" s="46">
        <f>+IFERROR(HLOOKUP($B19,'[2]10월'!$F$6:$CP$99,16,),)/1000</f>
        <v>68.467207999999971</v>
      </c>
      <c r="V19" s="47">
        <f t="shared" si="5"/>
        <v>-213.28231640033323</v>
      </c>
      <c r="W19" s="48">
        <f>+IFERROR(HLOOKUP($B19,'[3]10월'!$F$6:$CC$57,16,),)/1000</f>
        <v>518.1411419999996</v>
      </c>
      <c r="X19" s="49">
        <f t="shared" si="6"/>
        <v>-449.67393399999963</v>
      </c>
      <c r="Y19" s="45">
        <f>+[4]아산!$Q$85</f>
        <v>103000</v>
      </c>
      <c r="Z19" s="46">
        <f>+[4]아산!$R$85</f>
        <v>96241.63062933716</v>
      </c>
      <c r="AA19" s="50">
        <f>+[5]아산!$Q$85</f>
        <v>97210.458376683528</v>
      </c>
      <c r="AB19" s="51">
        <f>+[4]아산!$Q$89</f>
        <v>78015.497349413345</v>
      </c>
      <c r="AC19" s="46">
        <f>+[4]아산!$R$89</f>
        <v>81396.673893319312</v>
      </c>
      <c r="AD19" s="52">
        <f>+[5]아산!$Q$89</f>
        <v>75321.505155518884</v>
      </c>
      <c r="AE19" s="51">
        <f t="shared" si="7"/>
        <v>24984.502650586655</v>
      </c>
      <c r="AF19" s="46">
        <f t="shared" si="8"/>
        <v>14844.956736017848</v>
      </c>
      <c r="AG19" s="52">
        <f t="shared" si="9"/>
        <v>21888.953221164644</v>
      </c>
      <c r="AH19" s="17"/>
      <c r="AI19" s="18"/>
      <c r="AJ19" s="484"/>
      <c r="AK19" s="488"/>
    </row>
    <row r="20" spans="2:39" s="8" customFormat="1" ht="22.5" customHeight="1" x14ac:dyDescent="0.3">
      <c r="B20" s="8" t="s">
        <v>72</v>
      </c>
      <c r="G20" s="336" t="str">
        <f t="shared" si="1"/>
        <v>전주</v>
      </c>
      <c r="H20" s="74"/>
      <c r="I20" s="75" t="s">
        <v>72</v>
      </c>
      <c r="J20" s="45">
        <f>+IFERROR(HLOOKUP($B20,'[1]10월'!$D$6:$BN$259,2,),)/1000</f>
        <v>12</v>
      </c>
      <c r="K20" s="46">
        <f>+IFERROR(HLOOKUP($B20,'[2]10월'!$F$6:$CP$99,2,),)/1000</f>
        <v>14.1595</v>
      </c>
      <c r="L20" s="47">
        <f t="shared" si="0"/>
        <v>2.1594999999999995</v>
      </c>
      <c r="M20" s="48">
        <f>+IFERROR(HLOOKUP($B20,'[3]10월'!$F$6:$CC$57,2,),)/1000</f>
        <v>9.6694999999999993</v>
      </c>
      <c r="N20" s="49">
        <f t="shared" si="2"/>
        <v>4.49</v>
      </c>
      <c r="O20" s="45">
        <f>+IFERROR(HLOOKUP($B20,'[1]10월'!$D$6:$BN$259,3,),)/1000</f>
        <v>1209.9308700000001</v>
      </c>
      <c r="P20" s="46">
        <f>+IFERROR(HLOOKUP($B20,'[2]10월'!$F$6:$CP$99,3,),)/1000</f>
        <v>1377.1310000000001</v>
      </c>
      <c r="Q20" s="47">
        <f t="shared" si="3"/>
        <v>167.20012999999994</v>
      </c>
      <c r="R20" s="48">
        <f>+IFERROR(HLOOKUP($B20,'[3]10월'!$F$6:$CC$57,3,),)/1000</f>
        <v>921.15986499999997</v>
      </c>
      <c r="S20" s="49">
        <f t="shared" si="4"/>
        <v>455.97113500000012</v>
      </c>
      <c r="T20" s="45">
        <f>+IFERROR(HLOOKUP($B20,'[1]10월'!$D$6:$BN$259,16,),)/1000</f>
        <v>178.63194355114572</v>
      </c>
      <c r="U20" s="46">
        <f>+IFERROR(HLOOKUP($B20,'[2]10월'!$F$6:$CP$99,16,),)/1000</f>
        <v>116.34730200000004</v>
      </c>
      <c r="V20" s="47">
        <f t="shared" si="5"/>
        <v>-62.284641551145683</v>
      </c>
      <c r="W20" s="48">
        <f>+IFERROR(HLOOKUP($B20,'[3]10월'!$F$6:$CC$57,16,),)/1000</f>
        <v>51.295807000000089</v>
      </c>
      <c r="X20" s="49">
        <f t="shared" si="6"/>
        <v>65.05149499999996</v>
      </c>
      <c r="Y20" s="45">
        <f>+[4]전주!$Q$85</f>
        <v>100827.57250000001</v>
      </c>
      <c r="Z20" s="46">
        <f>+[4]전주!$R$85</f>
        <v>97258.448391539248</v>
      </c>
      <c r="AA20" s="50">
        <f>+[5]전주!$Q$85</f>
        <v>95264.477480738409</v>
      </c>
      <c r="AB20" s="51">
        <f>+[4]전주!$Q$89</f>
        <v>73158.251555923052</v>
      </c>
      <c r="AC20" s="46">
        <f>+[4]전주!$R$89</f>
        <v>77596.67719533261</v>
      </c>
      <c r="AD20" s="52">
        <f>+[5]전주!$Q$89</f>
        <v>74505.128703655821</v>
      </c>
      <c r="AE20" s="51">
        <f t="shared" si="7"/>
        <v>27669.320944076957</v>
      </c>
      <c r="AF20" s="46">
        <f t="shared" si="8"/>
        <v>19661.771196206639</v>
      </c>
      <c r="AG20" s="52">
        <f t="shared" si="9"/>
        <v>20759.348777082589</v>
      </c>
      <c r="AH20" s="17"/>
      <c r="AI20" s="18"/>
      <c r="AJ20" s="484"/>
      <c r="AK20" s="488"/>
    </row>
    <row r="21" spans="2:39" s="8" customFormat="1" ht="22.5" customHeight="1" x14ac:dyDescent="0.3">
      <c r="B21" s="8" t="s">
        <v>73</v>
      </c>
      <c r="G21" s="336" t="str">
        <f t="shared" si="1"/>
        <v>군산</v>
      </c>
      <c r="H21" s="74"/>
      <c r="I21" s="75" t="s">
        <v>73</v>
      </c>
      <c r="J21" s="45">
        <f>+IFERROR(HLOOKUP($B21,'[1]10월'!$D$6:$BN$259,2,),)/1000</f>
        <v>7.5</v>
      </c>
      <c r="K21" s="46">
        <f>+IFERROR(HLOOKUP($B21,'[2]10월'!$F$6:$CP$99,2,),)/1000</f>
        <v>3.4525000000000001</v>
      </c>
      <c r="L21" s="47">
        <f t="shared" si="0"/>
        <v>-4.0474999999999994</v>
      </c>
      <c r="M21" s="48">
        <f>+IFERROR(HLOOKUP($B21,'[3]10월'!$F$6:$CC$57,2,),)/1000</f>
        <v>9.0229999999999997</v>
      </c>
      <c r="N21" s="49">
        <f t="shared" si="2"/>
        <v>-5.5704999999999991</v>
      </c>
      <c r="O21" s="45">
        <f>+IFERROR(HLOOKUP($B21,'[1]10월'!$D$6:$BN$259,3,),)/1000</f>
        <v>832.85380000000009</v>
      </c>
      <c r="P21" s="46">
        <f>+IFERROR(HLOOKUP($B21,'[2]10월'!$F$6:$CP$99,3,),)/1000</f>
        <v>373.21671899999996</v>
      </c>
      <c r="Q21" s="47">
        <f t="shared" si="3"/>
        <v>-459.63708100000014</v>
      </c>
      <c r="R21" s="48">
        <f>+IFERROR(HLOOKUP($B21,'[3]10월'!$F$6:$CC$57,3,),)/1000</f>
        <v>1002.98855</v>
      </c>
      <c r="S21" s="49">
        <f t="shared" si="4"/>
        <v>-629.77183100000002</v>
      </c>
      <c r="T21" s="45">
        <f>+IFERROR(HLOOKUP($B21,'[1]10월'!$D$6:$BN$259,16,),)/1000</f>
        <v>205.06835729126487</v>
      </c>
      <c r="U21" s="46">
        <f>+IFERROR(HLOOKUP($B21,'[2]10월'!$F$6:$CP$99,16,),)/1000</f>
        <v>39.536473999999991</v>
      </c>
      <c r="V21" s="47">
        <f t="shared" si="5"/>
        <v>-165.53188329126488</v>
      </c>
      <c r="W21" s="48">
        <f>+IFERROR(HLOOKUP($B21,'[3]10월'!$F$6:$CC$57,16,),)/1000</f>
        <v>268.545388</v>
      </c>
      <c r="X21" s="49">
        <f t="shared" si="6"/>
        <v>-229.008914</v>
      </c>
      <c r="Y21" s="45">
        <f>+[4]군산!$Q$85</f>
        <v>111047.17333333334</v>
      </c>
      <c r="Z21" s="46">
        <f>+[4]군산!$R$85</f>
        <v>108100.42548877624</v>
      </c>
      <c r="AA21" s="50">
        <f>+[5]군산!$Q$85</f>
        <v>111159.09896930068</v>
      </c>
      <c r="AB21" s="51">
        <f>+[4]군산!$Q$89</f>
        <v>72853.802183386913</v>
      </c>
      <c r="AC21" s="46">
        <f>+[4]군산!$R$89</f>
        <v>72659.812309920351</v>
      </c>
      <c r="AD21" s="52">
        <f>+[5]군산!$Q$89</f>
        <v>72170.11958328716</v>
      </c>
      <c r="AE21" s="51">
        <f t="shared" si="7"/>
        <v>38193.371149946426</v>
      </c>
      <c r="AF21" s="46">
        <f t="shared" si="8"/>
        <v>35440.613178855885</v>
      </c>
      <c r="AG21" s="52">
        <f t="shared" si="9"/>
        <v>38988.979386013525</v>
      </c>
      <c r="AH21" s="17"/>
      <c r="AI21" s="18"/>
      <c r="AJ21" s="484"/>
      <c r="AK21" s="488"/>
    </row>
    <row r="22" spans="2:39" s="8" customFormat="1" ht="22.5" customHeight="1" x14ac:dyDescent="0.3">
      <c r="B22" s="8" t="s">
        <v>74</v>
      </c>
      <c r="G22" s="336" t="str">
        <f t="shared" si="1"/>
        <v>원주</v>
      </c>
      <c r="H22" s="74"/>
      <c r="I22" s="75" t="s">
        <v>74</v>
      </c>
      <c r="J22" s="45">
        <f>+IFERROR(HLOOKUP($B22,'[1]10월'!$D$6:$BN$259,2,),)/1000</f>
        <v>5</v>
      </c>
      <c r="K22" s="46">
        <f>+IFERROR(HLOOKUP($B22,'[2]10월'!$F$6:$CP$99,2,),)/1000</f>
        <v>4.2949999999999999</v>
      </c>
      <c r="L22" s="47">
        <f t="shared" si="0"/>
        <v>-0.70500000000000007</v>
      </c>
      <c r="M22" s="48">
        <f>+IFERROR(HLOOKUP($B22,'[3]10월'!$F$6:$CC$57,2,),)/1000</f>
        <v>5.5439999999999996</v>
      </c>
      <c r="N22" s="49">
        <f t="shared" si="2"/>
        <v>-1.2489999999999997</v>
      </c>
      <c r="O22" s="45">
        <f>+IFERROR(HLOOKUP($B22,'[1]10월'!$D$6:$BN$259,3,),)/1000</f>
        <v>560</v>
      </c>
      <c r="P22" s="46">
        <f>+IFERROR(HLOOKUP($B22,'[2]10월'!$F$6:$CP$99,3,),)/1000</f>
        <v>473.81819999999999</v>
      </c>
      <c r="Q22" s="47">
        <f t="shared" si="3"/>
        <v>-86.18180000000001</v>
      </c>
      <c r="R22" s="48">
        <f>+IFERROR(HLOOKUP($B22,'[3]10월'!$F$6:$CC$57,3,),)/1000</f>
        <v>603.98327700000004</v>
      </c>
      <c r="S22" s="49">
        <f t="shared" si="4"/>
        <v>-130.16507700000005</v>
      </c>
      <c r="T22" s="45">
        <f>+IFERROR(HLOOKUP($B22,'[1]10월'!$D$6:$BN$259,16,),)/1000</f>
        <v>103.86534141562616</v>
      </c>
      <c r="U22" s="46">
        <f>+IFERROR(HLOOKUP($B22,'[2]10월'!$F$6:$CP$99,16,),)/1000</f>
        <v>85.403376999999978</v>
      </c>
      <c r="V22" s="47">
        <f t="shared" si="5"/>
        <v>-18.461964415626184</v>
      </c>
      <c r="W22" s="48">
        <f>+IFERROR(HLOOKUP($B22,'[3]10월'!$F$6:$CC$57,16,),)/1000</f>
        <v>104.30830999999999</v>
      </c>
      <c r="X22" s="49">
        <f t="shared" si="6"/>
        <v>-18.904933000000014</v>
      </c>
      <c r="Y22" s="45">
        <f>+[4]원주!$Q$85</f>
        <v>112000</v>
      </c>
      <c r="Z22" s="46">
        <f>+[4]원주!$R$85</f>
        <v>110318.55646100116</v>
      </c>
      <c r="AA22" s="50">
        <f>+[5]원주!$Q$85</f>
        <v>108943.59253246753</v>
      </c>
      <c r="AB22" s="51">
        <f>+[4]원주!$Q$89</f>
        <v>73062.219679743255</v>
      </c>
      <c r="AC22" s="46">
        <f>+[4]원주!$R$89</f>
        <v>70416.19487776485</v>
      </c>
      <c r="AD22" s="52">
        <f>+[5]원주!$Q$89</f>
        <v>73906.808441558445</v>
      </c>
      <c r="AE22" s="51">
        <f t="shared" si="7"/>
        <v>38937.780320256745</v>
      </c>
      <c r="AF22" s="46">
        <f t="shared" si="8"/>
        <v>39902.361583236314</v>
      </c>
      <c r="AG22" s="52">
        <f t="shared" si="9"/>
        <v>35036.784090909088</v>
      </c>
      <c r="AH22" s="17"/>
      <c r="AI22" s="18"/>
      <c r="AJ22" s="484"/>
      <c r="AK22" s="488"/>
    </row>
    <row r="23" spans="2:39" s="8" customFormat="1" ht="22.5" customHeight="1" x14ac:dyDescent="0.3">
      <c r="B23" s="8" t="s">
        <v>75</v>
      </c>
      <c r="F23" s="84">
        <f>+K27-J27</f>
        <v>-60.711999999999989</v>
      </c>
      <c r="G23" s="334" t="str">
        <f t="shared" si="1"/>
        <v>제주</v>
      </c>
      <c r="H23" s="74"/>
      <c r="I23" s="75" t="s">
        <v>75</v>
      </c>
      <c r="J23" s="45">
        <f>+IFERROR(HLOOKUP($B23,'[1]10월'!$D$6:$BN$259,2,),)/1000</f>
        <v>8</v>
      </c>
      <c r="K23" s="46">
        <f>+IFERROR(HLOOKUP($B23,'[2]10월'!$F$6:$CP$99,2,),)/1000</f>
        <v>3.72</v>
      </c>
      <c r="L23" s="47">
        <f t="shared" si="0"/>
        <v>-4.2799999999999994</v>
      </c>
      <c r="M23" s="48">
        <f>+IFERROR(HLOOKUP($B23,'[3]10월'!$F$6:$CC$57,2,),)/1000</f>
        <v>3.0470000000000002</v>
      </c>
      <c r="N23" s="49">
        <f t="shared" si="2"/>
        <v>0.67300000000000004</v>
      </c>
      <c r="O23" s="45">
        <f>+IFERROR(HLOOKUP($B23,'[1]10월'!$D$6:$BN$259,3,),)/1000</f>
        <v>980.90800000000002</v>
      </c>
      <c r="P23" s="46">
        <f>+IFERROR(HLOOKUP($B23,'[2]10월'!$F$6:$CP$99,3,),)/1000</f>
        <v>470.50296900000001</v>
      </c>
      <c r="Q23" s="47">
        <f t="shared" si="3"/>
        <v>-510.40503100000001</v>
      </c>
      <c r="R23" s="48">
        <f>+IFERROR(HLOOKUP($B23,'[3]10월'!$F$6:$CC$57,3,),)/1000</f>
        <v>366.41406800000004</v>
      </c>
      <c r="S23" s="49">
        <f t="shared" si="4"/>
        <v>104.08890099999996</v>
      </c>
      <c r="T23" s="45">
        <f>+IFERROR(HLOOKUP($B23,'[1]10월'!$D$6:$BN$259,16,),)/1000</f>
        <v>150.10858815339208</v>
      </c>
      <c r="U23" s="46">
        <f>+IFERROR(HLOOKUP($B23,'[2]10월'!$F$6:$CP$99,16,),)/1000</f>
        <v>-10.04498800000002</v>
      </c>
      <c r="V23" s="47">
        <f t="shared" si="5"/>
        <v>-160.15357615339209</v>
      </c>
      <c r="W23" s="48">
        <f>+IFERROR(HLOOKUP($B23,'[3]10월'!$F$6:$CC$57,16,),)/1000</f>
        <v>4.7940700000000502</v>
      </c>
      <c r="X23" s="49">
        <f t="shared" si="6"/>
        <v>-14.839058000000069</v>
      </c>
      <c r="Y23" s="45">
        <f>+[4]제주!$Q$85</f>
        <v>122613.5</v>
      </c>
      <c r="Z23" s="46">
        <f>+[4]제주!$R$85</f>
        <v>126350.89045643153</v>
      </c>
      <c r="AA23" s="50">
        <f>+[5]제주!$Q$85</f>
        <v>120254.04266491633</v>
      </c>
      <c r="AB23" s="51">
        <f>+[4]제주!$Q$89</f>
        <v>91127.321153324228</v>
      </c>
      <c r="AC23" s="46">
        <f>+[4]제주!$R$89</f>
        <v>99085.226707215916</v>
      </c>
      <c r="AD23" s="52">
        <f>+[5]제주!$Q$89</f>
        <v>91133.112085769986</v>
      </c>
      <c r="AE23" s="51">
        <f t="shared" si="7"/>
        <v>31486.178846675772</v>
      </c>
      <c r="AF23" s="46">
        <f t="shared" si="8"/>
        <v>27265.663749215615</v>
      </c>
      <c r="AG23" s="52">
        <f t="shared" si="9"/>
        <v>29120.930579146341</v>
      </c>
      <c r="AH23" s="17"/>
      <c r="AI23" s="18"/>
      <c r="AJ23" s="484"/>
      <c r="AK23" s="488"/>
    </row>
    <row r="24" spans="2:39" s="8" customFormat="1" ht="22.5" customHeight="1" x14ac:dyDescent="0.3">
      <c r="F24" s="495">
        <f>+K24/J24</f>
        <v>0.82314062500000007</v>
      </c>
      <c r="G24" s="337" t="str">
        <f t="shared" si="1"/>
        <v>수도권</v>
      </c>
      <c r="H24" s="74"/>
      <c r="I24" s="78" t="s">
        <v>42</v>
      </c>
      <c r="J24" s="22">
        <f>SUM(J7:J10)</f>
        <v>96</v>
      </c>
      <c r="K24" s="19">
        <f>SUM(K7:K10)</f>
        <v>79.021500000000003</v>
      </c>
      <c r="L24" s="20">
        <f t="shared" si="0"/>
        <v>-16.978499999999997</v>
      </c>
      <c r="M24" s="24">
        <f>SUM(M7:M10)</f>
        <v>103.90999999999998</v>
      </c>
      <c r="N24" s="21">
        <f t="shared" si="2"/>
        <v>-24.888499999999979</v>
      </c>
      <c r="O24" s="22">
        <f>SUM(O7:O10)</f>
        <v>9606.6544351409393</v>
      </c>
      <c r="P24" s="19">
        <f>SUM(P7:P10)</f>
        <v>7480.3883159999996</v>
      </c>
      <c r="Q24" s="20">
        <f t="shared" si="3"/>
        <v>-2126.2661191409397</v>
      </c>
      <c r="R24" s="24">
        <f>SUM(R7:R10)</f>
        <v>9713.520011999999</v>
      </c>
      <c r="S24" s="21">
        <f t="shared" si="4"/>
        <v>-2233.1316959999995</v>
      </c>
      <c r="T24" s="22">
        <f>SUM(T7:T10)</f>
        <v>827.85556847410874</v>
      </c>
      <c r="U24" s="19">
        <f>SUM(U7:U10)</f>
        <v>72.705947009999875</v>
      </c>
      <c r="V24" s="20">
        <f t="shared" si="5"/>
        <v>-755.1496214641088</v>
      </c>
      <c r="W24" s="24">
        <f>SUM(W7:W10)</f>
        <v>363.42567899999938</v>
      </c>
      <c r="X24" s="21">
        <f t="shared" si="6"/>
        <v>-290.7197319899995</v>
      </c>
      <c r="Y24" s="22">
        <f>+[4]수도권!$Q$85</f>
        <v>100069.31703271811</v>
      </c>
      <c r="Z24" s="19">
        <f>+[4]수도권!$R$85</f>
        <v>94672.854300716004</v>
      </c>
      <c r="AA24" s="23">
        <f>+[5]수도권!$Q$85</f>
        <v>93480.665857137355</v>
      </c>
      <c r="AB24" s="28">
        <f>+[4]수도권!$Q$89</f>
        <v>81319.970023102331</v>
      </c>
      <c r="AC24" s="19">
        <f>+[4]수도권!$R$89</f>
        <v>80864.399781199711</v>
      </c>
      <c r="AD24" s="29">
        <f>+[5]수도권!$Q$89</f>
        <v>80496.449431627421</v>
      </c>
      <c r="AE24" s="28">
        <f t="shared" si="7"/>
        <v>18749.347009615783</v>
      </c>
      <c r="AF24" s="19">
        <f t="shared" si="8"/>
        <v>13808.454519516294</v>
      </c>
      <c r="AG24" s="29">
        <f t="shared" si="9"/>
        <v>12984.216425509934</v>
      </c>
      <c r="AH24" s="17"/>
      <c r="AI24" s="18"/>
      <c r="AJ24" s="484"/>
      <c r="AK24" s="488"/>
    </row>
    <row r="25" spans="2:39" s="8" customFormat="1" ht="22.5" customHeight="1" x14ac:dyDescent="0.3">
      <c r="F25" s="495">
        <f>+K25/J25</f>
        <v>0.70944268774703567</v>
      </c>
      <c r="G25" s="334" t="str">
        <f t="shared" si="1"/>
        <v>영남권</v>
      </c>
      <c r="H25" s="74"/>
      <c r="I25" s="78" t="s">
        <v>43</v>
      </c>
      <c r="J25" s="22">
        <f>SUM(J11:J18)</f>
        <v>126.5</v>
      </c>
      <c r="K25" s="19">
        <f>SUM(K11:K18)</f>
        <v>89.744500000000016</v>
      </c>
      <c r="L25" s="20">
        <f t="shared" si="0"/>
        <v>-36.755499999999984</v>
      </c>
      <c r="M25" s="24">
        <f>SUM(M11:M18)</f>
        <v>130.221</v>
      </c>
      <c r="N25" s="21">
        <f t="shared" si="2"/>
        <v>-40.476499999999987</v>
      </c>
      <c r="O25" s="22">
        <f>SUM(O11:O18)</f>
        <v>12713.985387340697</v>
      </c>
      <c r="P25" s="19">
        <f>SUM(P11:P18)</f>
        <v>8957.9259819999988</v>
      </c>
      <c r="Q25" s="20">
        <f t="shared" si="3"/>
        <v>-3756.0594053406985</v>
      </c>
      <c r="R25" s="24">
        <f>SUM(R11:R18)</f>
        <v>12503.421849</v>
      </c>
      <c r="S25" s="21">
        <f t="shared" si="4"/>
        <v>-3545.4958670000015</v>
      </c>
      <c r="T25" s="22">
        <f>SUM(T11:T18)</f>
        <v>1245.3515202977658</v>
      </c>
      <c r="U25" s="19">
        <f>SUM(U11:U18)</f>
        <v>179.44382499999995</v>
      </c>
      <c r="V25" s="20">
        <f t="shared" si="5"/>
        <v>-1065.9076952977657</v>
      </c>
      <c r="W25" s="24">
        <f>SUM(W11:W18)</f>
        <v>830.76103799999987</v>
      </c>
      <c r="X25" s="21">
        <f t="shared" si="6"/>
        <v>-651.31721299999992</v>
      </c>
      <c r="Y25" s="22">
        <f>+[4]영남권!$Q$85</f>
        <v>100505.81333866165</v>
      </c>
      <c r="Z25" s="19">
        <f>+[4]영남권!$R$85</f>
        <v>99815.877095532327</v>
      </c>
      <c r="AA25" s="23">
        <f>+[5]영남권!$Q$85</f>
        <v>96016.648996705597</v>
      </c>
      <c r="AB25" s="28">
        <f>+[4]영남권!$Q$89</f>
        <v>78927.232507543013</v>
      </c>
      <c r="AC25" s="19">
        <f>+[4]영남권!$R$89</f>
        <v>81714.807952476651</v>
      </c>
      <c r="AD25" s="29">
        <f>+[5]영남권!$Q$89</f>
        <v>78191.758310460515</v>
      </c>
      <c r="AE25" s="28">
        <f t="shared" si="7"/>
        <v>21578.580831118641</v>
      </c>
      <c r="AF25" s="19">
        <f t="shared" si="8"/>
        <v>18101.069143055676</v>
      </c>
      <c r="AG25" s="29">
        <f t="shared" si="9"/>
        <v>17824.890686245082</v>
      </c>
      <c r="AH25" s="17"/>
      <c r="AI25" s="18"/>
      <c r="AJ25" s="484"/>
      <c r="AK25" s="488"/>
    </row>
    <row r="26" spans="2:39" s="8" customFormat="1" ht="22.5" customHeight="1" x14ac:dyDescent="0.3">
      <c r="F26" s="495">
        <f>+K26/J26</f>
        <v>0.86957009345794389</v>
      </c>
      <c r="G26" s="334" t="str">
        <f t="shared" si="1"/>
        <v>중부권</v>
      </c>
      <c r="H26" s="74"/>
      <c r="I26" s="78" t="s">
        <v>107</v>
      </c>
      <c r="J26" s="22">
        <f>SUM(J19:J23)</f>
        <v>53.5</v>
      </c>
      <c r="K26" s="19">
        <f>SUM(K19:K23)</f>
        <v>46.521999999999998</v>
      </c>
      <c r="L26" s="20">
        <f t="shared" si="0"/>
        <v>-6.9780000000000015</v>
      </c>
      <c r="M26" s="24">
        <f>SUM(M19:M23)</f>
        <v>62.425999999999988</v>
      </c>
      <c r="N26" s="21">
        <f t="shared" si="2"/>
        <v>-15.903999999999989</v>
      </c>
      <c r="O26" s="22">
        <f>SUM(O19:O23)</f>
        <v>5746.6926700000004</v>
      </c>
      <c r="P26" s="19">
        <f>SUM(P19:P23)</f>
        <v>4705.6377599999996</v>
      </c>
      <c r="Q26" s="20">
        <f t="shared" si="3"/>
        <v>-1041.0549100000007</v>
      </c>
      <c r="R26" s="24">
        <f>SUM(R19:R23)</f>
        <v>6311.6096660000003</v>
      </c>
      <c r="S26" s="21">
        <f t="shared" si="4"/>
        <v>-1605.9719060000007</v>
      </c>
      <c r="T26" s="22">
        <f>SUM(T19:T23)</f>
        <v>919.42375481176214</v>
      </c>
      <c r="U26" s="19">
        <f>SUM(U19:U23)</f>
        <v>299.70937299999997</v>
      </c>
      <c r="V26" s="20">
        <f t="shared" si="5"/>
        <v>-619.71438181176222</v>
      </c>
      <c r="W26" s="24">
        <f>SUM(W19:W23)</f>
        <v>947.08471699999973</v>
      </c>
      <c r="X26" s="21">
        <f t="shared" si="6"/>
        <v>-647.37534399999981</v>
      </c>
      <c r="Y26" s="22">
        <f>+[4]중부권!$Q$85</f>
        <v>107414.81626168225</v>
      </c>
      <c r="Z26" s="19">
        <f>+[4]중부권!$R$85</f>
        <v>101081.35510696511</v>
      </c>
      <c r="AA26" s="23">
        <f>+[5]중부권!$Q$85</f>
        <v>101095.65574191067</v>
      </c>
      <c r="AB26" s="28">
        <f>+[4]중부권!$Q$89</f>
        <v>77700.142934756426</v>
      </c>
      <c r="AC26" s="19">
        <f>+[4]중부권!$R$89</f>
        <v>79950.247219772413</v>
      </c>
      <c r="AD26" s="29">
        <f>+[5]중부권!$Q$89</f>
        <v>75393.476845256198</v>
      </c>
      <c r="AE26" s="28">
        <f t="shared" si="7"/>
        <v>29714.673326925826</v>
      </c>
      <c r="AF26" s="19">
        <f t="shared" si="8"/>
        <v>21131.107887192702</v>
      </c>
      <c r="AG26" s="29">
        <f t="shared" si="9"/>
        <v>25702.17889665447</v>
      </c>
      <c r="AH26" s="17"/>
      <c r="AI26" s="18"/>
      <c r="AJ26" s="484"/>
      <c r="AK26" s="488"/>
    </row>
    <row r="27" spans="2:39" s="3" customFormat="1" ht="22.5" customHeight="1" x14ac:dyDescent="0.3">
      <c r="B27" s="25"/>
      <c r="F27" s="483">
        <f>+K27/M27</f>
        <v>0.72595824748699256</v>
      </c>
      <c r="G27" s="336">
        <f>+K27/J27</f>
        <v>0.78002898550724642</v>
      </c>
      <c r="H27" s="267" t="s">
        <v>94</v>
      </c>
      <c r="I27" s="268"/>
      <c r="J27" s="269">
        <f>SUM(J24:J26)</f>
        <v>276</v>
      </c>
      <c r="K27" s="270">
        <f>SUM(K24:K26)</f>
        <v>215.28800000000001</v>
      </c>
      <c r="L27" s="271">
        <f t="shared" ref="L27:L32" si="10">+K27-J27</f>
        <v>-60.711999999999989</v>
      </c>
      <c r="M27" s="272">
        <f>SUM(M24:M26)</f>
        <v>296.55699999999996</v>
      </c>
      <c r="N27" s="273">
        <f t="shared" ref="N27:N32" si="11">+K27-M27</f>
        <v>-81.268999999999949</v>
      </c>
      <c r="O27" s="269">
        <f>SUM(O24:O26)</f>
        <v>28067.332492481637</v>
      </c>
      <c r="P27" s="270">
        <f>SUM(P24:P26)</f>
        <v>21143.952057999995</v>
      </c>
      <c r="Q27" s="271">
        <f t="shared" ref="Q27:Q43" si="12">+P27-O27</f>
        <v>-6923.3804344816417</v>
      </c>
      <c r="R27" s="272">
        <f>SUM(R24:R26)</f>
        <v>28528.551527</v>
      </c>
      <c r="S27" s="273">
        <f t="shared" ref="S27:S34" si="13">+P27-R27</f>
        <v>-7384.5994690000043</v>
      </c>
      <c r="T27" s="269">
        <f>SUM(T24:T26)</f>
        <v>2992.6308435836368</v>
      </c>
      <c r="U27" s="270">
        <f>SUM(U24:U26)</f>
        <v>551.85914500999979</v>
      </c>
      <c r="V27" s="271">
        <f t="shared" ref="V27:V32" si="14">+U27-T27</f>
        <v>-2440.771698573637</v>
      </c>
      <c r="W27" s="272">
        <f>SUM(W24:W26)</f>
        <v>2141.2714339999989</v>
      </c>
      <c r="X27" s="273">
        <f t="shared" ref="X27:X32" si="15">+U27-W27</f>
        <v>-1589.4122889899991</v>
      </c>
      <c r="Y27" s="269">
        <f>+[4]합계!$Q$85</f>
        <v>101693.23366841172</v>
      </c>
      <c r="Z27" s="270">
        <f>+[4]합계!$R$85</f>
        <v>98207.724138894569</v>
      </c>
      <c r="AA27" s="274">
        <f>+[5]합계!$Q$85</f>
        <v>96197.561428846195</v>
      </c>
      <c r="AB27" s="275">
        <f>+[4]합계!$Q$89</f>
        <v>79521.629280548848</v>
      </c>
      <c r="AC27" s="270">
        <f>+[4]합계!$R$89</f>
        <v>81022.029296257009</v>
      </c>
      <c r="AD27" s="276">
        <f>+[5]합계!$Q$89</f>
        <v>78411.450680820199</v>
      </c>
      <c r="AE27" s="275">
        <f t="shared" si="7"/>
        <v>22171.60438786287</v>
      </c>
      <c r="AF27" s="270">
        <f t="shared" si="8"/>
        <v>17185.69484263756</v>
      </c>
      <c r="AG27" s="276">
        <f t="shared" si="9"/>
        <v>17786.110748025996</v>
      </c>
      <c r="AH27" s="26"/>
      <c r="AI27" s="493">
        <f>+AF27-AE27</f>
        <v>-4985.9095452253096</v>
      </c>
      <c r="AJ27" s="494">
        <f>+AF27-AG27</f>
        <v>-600.41590538843593</v>
      </c>
      <c r="AK27" s="488"/>
      <c r="AL27" s="25"/>
    </row>
    <row r="28" spans="2:39" s="8" customFormat="1" ht="22.5" customHeight="1" x14ac:dyDescent="0.3">
      <c r="B28" s="8" t="s">
        <v>114</v>
      </c>
      <c r="E28" s="8" t="s">
        <v>123</v>
      </c>
      <c r="G28" s="334" t="s">
        <v>3</v>
      </c>
      <c r="H28" s="606" t="s">
        <v>48</v>
      </c>
      <c r="I28" s="607"/>
      <c r="J28" s="153">
        <f>+IFERROR(HLOOKUP($B28,'[1]10월'!$D$6:$BN$259,2,),)</f>
        <v>11000</v>
      </c>
      <c r="K28" s="154">
        <f>+IFERROR(HLOOKUP($E28,'[2]10월'!$F$6:$CP$99,2,),)</f>
        <v>6655.6190000000006</v>
      </c>
      <c r="L28" s="155">
        <f>+K28-J28</f>
        <v>-4344.3809999999994</v>
      </c>
      <c r="M28" s="156">
        <f>+IFERROR(HLOOKUP($E28,'[3]10월'!$F$6:$CC$57,2,),)</f>
        <v>8972.0079999999998</v>
      </c>
      <c r="N28" s="157">
        <f>+K28-M28</f>
        <v>-2316.3889999999992</v>
      </c>
      <c r="O28" s="153">
        <f>+IFERROR(HLOOKUP($B28,'[1]10월'!$D$6:$BN$259,3,),)/1000</f>
        <v>11978.568614399999</v>
      </c>
      <c r="P28" s="154">
        <f>+IFERROR(HLOOKUP($E28,'[2]10월'!$F$6:$CP$99,3,),)/1000</f>
        <v>6923.7764969999998</v>
      </c>
      <c r="Q28" s="155">
        <f>+P28-O28</f>
        <v>-5054.7921173999994</v>
      </c>
      <c r="R28" s="156">
        <f>+IFERROR(HLOOKUP($E28,'[3]10월'!$F$6:$CC$57,3,),)/1000</f>
        <v>8678.6852690000014</v>
      </c>
      <c r="S28" s="157">
        <f t="shared" si="13"/>
        <v>-1754.9087720000016</v>
      </c>
      <c r="T28" s="153">
        <f>+IFERROR(HLOOKUP($B28,'[1]10월'!$D$6:$BN$259,16,),)/1000</f>
        <v>200.06054951117861</v>
      </c>
      <c r="U28" s="154">
        <f>+IFERROR(HLOOKUP($E28,'[2]10월'!$F$6:$CP$99,16,),)/1000</f>
        <v>-37.086785000000965</v>
      </c>
      <c r="V28" s="155">
        <f t="shared" si="14"/>
        <v>-237.14733451117957</v>
      </c>
      <c r="W28" s="156">
        <f>+IFERROR(HLOOKUP($E28,'[3]10월'!$F$6:$CC$57,16,),)/1000</f>
        <v>44.005329000002384</v>
      </c>
      <c r="X28" s="157">
        <f t="shared" si="15"/>
        <v>-81.092114000003349</v>
      </c>
      <c r="Y28" s="287" t="s">
        <v>109</v>
      </c>
      <c r="Z28" s="288"/>
      <c r="AA28" s="288"/>
      <c r="AB28" s="288"/>
      <c r="AC28" s="288"/>
      <c r="AD28" s="288"/>
      <c r="AE28" s="288"/>
      <c r="AF28" s="288"/>
      <c r="AG28" s="289"/>
      <c r="AH28" s="17"/>
      <c r="AI28" s="18"/>
      <c r="AJ28" s="484"/>
      <c r="AK28" s="488"/>
    </row>
    <row r="29" spans="2:39" s="8" customFormat="1" ht="22.5" customHeight="1" x14ac:dyDescent="0.3">
      <c r="B29" s="8" t="s">
        <v>115</v>
      </c>
      <c r="C29" s="73" t="s">
        <v>46</v>
      </c>
      <c r="G29" s="335" t="str">
        <f>+I29</f>
        <v>부산모래장</v>
      </c>
      <c r="H29" s="80" t="s">
        <v>45</v>
      </c>
      <c r="I29" s="75" t="s">
        <v>115</v>
      </c>
      <c r="J29" s="55">
        <f>+IFERROR(HLOOKUP($B29,'[1]10월'!$D$6:$BN$259,2,),)/1000</f>
        <v>22.914307376994902</v>
      </c>
      <c r="K29" s="56">
        <f>+IFERROR(HLOOKUP($C29,'[2]10월'!$F$6:$CP$99,2,),)/1000</f>
        <v>19.248999999999999</v>
      </c>
      <c r="L29" s="37">
        <f t="shared" si="10"/>
        <v>-3.6653073769949032</v>
      </c>
      <c r="M29" s="37">
        <f>+IFERROR(HLOOKUP($C29,'[3]10월'!$F$6:$CC$57,2,),)/1000</f>
        <v>20.119</v>
      </c>
      <c r="N29" s="57">
        <f t="shared" si="11"/>
        <v>-0.87000000000000099</v>
      </c>
      <c r="O29" s="55">
        <f>+IFERROR(HLOOKUP($B29,'[1]10월'!$D$6:$BN$259,3,),)/1000</f>
        <v>620.32426732634303</v>
      </c>
      <c r="P29" s="56">
        <f>+IFERROR(HLOOKUP($C29,'[2]10월'!$F$6:$CP$99,3,),)/1000</f>
        <v>548.13340000000005</v>
      </c>
      <c r="Q29" s="37">
        <f t="shared" si="12"/>
        <v>-72.190867326342982</v>
      </c>
      <c r="R29" s="37">
        <f>+IFERROR(HLOOKUP($C29,'[3]10월'!$F$6:$CC$57,3,),)/1000</f>
        <v>571.11</v>
      </c>
      <c r="S29" s="57">
        <f t="shared" si="13"/>
        <v>-22.976599999999962</v>
      </c>
      <c r="T29" s="55">
        <f>+IFERROR(HLOOKUP($B29,'[1]10월'!$D$6:$BN$259,21,),)/1000</f>
        <v>50.573899871655534</v>
      </c>
      <c r="U29" s="56">
        <f>+IFERROR(HLOOKUP($C29,'[2]10월'!$F$6:$CP$99,21,),)/1000</f>
        <v>15.814881353425328</v>
      </c>
      <c r="V29" s="37">
        <f t="shared" si="14"/>
        <v>-34.759018518230206</v>
      </c>
      <c r="W29" s="37">
        <f>+IFERROR(HLOOKUP($C29,'[3]10월'!$F$6:$CC$57,21,),)/1000</f>
        <v>53.934357068743452</v>
      </c>
      <c r="X29" s="57">
        <f t="shared" si="15"/>
        <v>-38.119475715318124</v>
      </c>
      <c r="Y29" s="496"/>
      <c r="Z29" s="229"/>
      <c r="AA29" s="229"/>
      <c r="AB29" s="341"/>
      <c r="AC29" s="229"/>
      <c r="AD29" s="229"/>
      <c r="AE29" s="229"/>
      <c r="AF29" s="229"/>
      <c r="AG29" s="50"/>
      <c r="AH29" s="17"/>
      <c r="AI29" s="18"/>
      <c r="AJ29" s="484"/>
      <c r="AK29" s="488"/>
    </row>
    <row r="30" spans="2:39" s="8" customFormat="1" ht="22.5" customHeight="1" x14ac:dyDescent="0.3">
      <c r="B30" s="8" t="s">
        <v>116</v>
      </c>
      <c r="C30" s="75" t="s">
        <v>47</v>
      </c>
      <c r="G30" s="335" t="str">
        <f>+I30</f>
        <v>서부산CR</v>
      </c>
      <c r="H30" s="79"/>
      <c r="I30" s="75" t="s">
        <v>124</v>
      </c>
      <c r="J30" s="53">
        <f>+IFERROR(HLOOKUP($B30,'[1]10월'!$D$6:$BN$259,2,),)/1000</f>
        <v>45.741815053763439</v>
      </c>
      <c r="K30" s="58">
        <f>+IFERROR(HLOOKUP($C30,'[2]10월'!$F$6:$CP$99,2,),)/1000</f>
        <v>32.200000000000003</v>
      </c>
      <c r="L30" s="47">
        <f t="shared" si="10"/>
        <v>-13.541815053763436</v>
      </c>
      <c r="M30" s="47">
        <f>+IFERROR(HLOOKUP($C30,'[3]10월'!$F$6:$CC$57,2,),)/1000</f>
        <v>1.36</v>
      </c>
      <c r="N30" s="59">
        <f t="shared" si="11"/>
        <v>30.840000000000003</v>
      </c>
      <c r="O30" s="53">
        <f>+IFERROR(HLOOKUP($B30,'[1]10월'!$D$6:$BN$259,3,),)/1000</f>
        <v>659.92864086021507</v>
      </c>
      <c r="P30" s="58">
        <f>+IFERROR(HLOOKUP($C30,'[2]10월'!$F$6:$CP$99,3,),)/1000</f>
        <v>415.68799999999999</v>
      </c>
      <c r="Q30" s="47">
        <f t="shared" si="12"/>
        <v>-244.24064086021508</v>
      </c>
      <c r="R30" s="47">
        <f>+IFERROR(HLOOKUP($C30,'[3]10월'!$F$6:$CC$57,3,),)/1000</f>
        <v>15.64</v>
      </c>
      <c r="S30" s="59">
        <f t="shared" si="13"/>
        <v>400.048</v>
      </c>
      <c r="T30" s="53">
        <f>+IFERROR(HLOOKUP($B30,'[1]10월'!$D$6:$BN$259,21,),)/1000</f>
        <v>81.628816086054499</v>
      </c>
      <c r="U30" s="58">
        <f>+IFERROR(HLOOKUP($C30,'[2]10월'!$F$6:$CP$99,21,),)/1000</f>
        <v>-36.946807887994275</v>
      </c>
      <c r="V30" s="47">
        <f t="shared" si="14"/>
        <v>-118.57562397404877</v>
      </c>
      <c r="W30" s="47">
        <f>+IFERROR(HLOOKUP($C30,'[3]10월'!$F$6:$CC$57,21,),)/1000</f>
        <v>-83.948514345143408</v>
      </c>
      <c r="X30" s="59">
        <f t="shared" si="15"/>
        <v>47.001706457149133</v>
      </c>
      <c r="Y30" s="496"/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485"/>
      <c r="AK30" s="488"/>
      <c r="AL30" s="86"/>
    </row>
    <row r="31" spans="2:39" s="8" customFormat="1" ht="22.5" customHeight="1" x14ac:dyDescent="0.3">
      <c r="B31" s="8" t="s">
        <v>111</v>
      </c>
      <c r="C31" s="77" t="s">
        <v>111</v>
      </c>
      <c r="G31" s="335" t="str">
        <f>+I31</f>
        <v>부산CR</v>
      </c>
      <c r="H31" s="79"/>
      <c r="I31" s="77" t="s">
        <v>125</v>
      </c>
      <c r="J31" s="53">
        <f>+IFERROR(HLOOKUP($B31,'[1]10월'!$D$6:$BN$259,2,),)/1000</f>
        <v>39.561554933333333</v>
      </c>
      <c r="K31" s="58">
        <f>+IFERROR(HLOOKUP($C31,'[2]10월'!$F$6:$CP$99,2,),)/1000</f>
        <v>15.14</v>
      </c>
      <c r="L31" s="47">
        <f t="shared" si="10"/>
        <v>-24.421554933333333</v>
      </c>
      <c r="M31" s="47">
        <f>+IFERROR(HLOOKUP($C31,'[3]10월'!$F$6:$CC$57,2,),)/1000</f>
        <v>38.610999999999997</v>
      </c>
      <c r="N31" s="59">
        <f t="shared" si="11"/>
        <v>-23.470999999999997</v>
      </c>
      <c r="O31" s="53">
        <f>+IFERROR(HLOOKUP($B31,'[1]10월'!$D$6:$BN$259,3,),)/1000</f>
        <v>666.40658400000007</v>
      </c>
      <c r="P31" s="58">
        <f>+IFERROR(HLOOKUP($C31,'[2]10월'!$F$6:$CP$99,3,),)/1000</f>
        <v>297.08440000000002</v>
      </c>
      <c r="Q31" s="47">
        <f t="shared" si="12"/>
        <v>-369.32218400000005</v>
      </c>
      <c r="R31" s="47">
        <f>+IFERROR(HLOOKUP($C31,'[3]10월'!$F$6:$CC$57,3,),)/1000</f>
        <v>659.06849999999997</v>
      </c>
      <c r="S31" s="59">
        <f t="shared" si="13"/>
        <v>-361.98409999999996</v>
      </c>
      <c r="T31" s="53">
        <f>+IFERROR(HLOOKUP($B31,'[1]10월'!$D$6:$BN$259,21,),)/1000</f>
        <v>77.614008674766396</v>
      </c>
      <c r="U31" s="58">
        <f>+IFERROR(HLOOKUP($C31,'[2]10월'!$F$6:$CP$99,21,),)/1000</f>
        <v>-101.49149872999993</v>
      </c>
      <c r="V31" s="47">
        <f t="shared" si="14"/>
        <v>-179.10550740476634</v>
      </c>
      <c r="W31" s="47">
        <f>+IFERROR(HLOOKUP($C31,'[3]10월'!$F$6:$CC$57,21,),)/1000</f>
        <v>-119.94369382000009</v>
      </c>
      <c r="X31" s="59">
        <f t="shared" si="15"/>
        <v>18.45219509000016</v>
      </c>
      <c r="Y31" s="496"/>
      <c r="Z31" s="229"/>
      <c r="AA31" s="229"/>
      <c r="AB31" s="229"/>
      <c r="AC31" s="229"/>
      <c r="AD31" s="229"/>
      <c r="AE31" s="229"/>
      <c r="AF31" s="229"/>
      <c r="AG31" s="50"/>
      <c r="AH31" s="17"/>
      <c r="AI31" s="18"/>
      <c r="AJ31" s="485"/>
      <c r="AK31" s="488"/>
      <c r="AL31" s="86"/>
    </row>
    <row r="32" spans="2:39" s="3" customFormat="1" ht="22.5" customHeight="1" x14ac:dyDescent="0.3">
      <c r="G32" s="338"/>
      <c r="H32" s="134" t="s">
        <v>33</v>
      </c>
      <c r="I32" s="135"/>
      <c r="J32" s="136">
        <f>SUM(J29:J31)</f>
        <v>108.21767736409168</v>
      </c>
      <c r="K32" s="140">
        <f>SUM(K29:K31)</f>
        <v>66.588999999999999</v>
      </c>
      <c r="L32" s="138">
        <f t="shared" si="10"/>
        <v>-41.628677364091686</v>
      </c>
      <c r="M32" s="138">
        <f>SUM(M29:M31)</f>
        <v>60.089999999999996</v>
      </c>
      <c r="N32" s="139">
        <f t="shared" si="11"/>
        <v>6.4990000000000023</v>
      </c>
      <c r="O32" s="136">
        <f>SUM(O29:O31)</f>
        <v>1946.6594921865583</v>
      </c>
      <c r="P32" s="140">
        <f>SUM(P29:P31)</f>
        <v>1260.9058</v>
      </c>
      <c r="Q32" s="138">
        <f t="shared" si="12"/>
        <v>-685.75369218655828</v>
      </c>
      <c r="R32" s="138">
        <f>SUM(R29:R31)</f>
        <v>1245.8184999999999</v>
      </c>
      <c r="S32" s="139">
        <f t="shared" si="13"/>
        <v>15.087300000000141</v>
      </c>
      <c r="T32" s="136">
        <f>SUM(T29:T31)</f>
        <v>209.81672463247645</v>
      </c>
      <c r="U32" s="140">
        <f>SUM(U29:U31)</f>
        <v>-122.62342526456888</v>
      </c>
      <c r="V32" s="138">
        <f t="shared" si="14"/>
        <v>-332.44014989704533</v>
      </c>
      <c r="W32" s="138">
        <f>SUM(W29:W31)</f>
        <v>-149.95785109640005</v>
      </c>
      <c r="X32" s="139">
        <f t="shared" si="15"/>
        <v>27.334425831831169</v>
      </c>
      <c r="Y32" s="496"/>
      <c r="Z32" s="229"/>
      <c r="AA32" s="229"/>
      <c r="AB32" s="229"/>
      <c r="AC32" s="229"/>
      <c r="AD32" s="229"/>
      <c r="AE32" s="229"/>
      <c r="AF32" s="229"/>
      <c r="AG32" s="50"/>
      <c r="AH32" s="26"/>
      <c r="AI32" s="27"/>
      <c r="AJ32" s="486"/>
      <c r="AK32" s="484"/>
      <c r="AL32" s="489"/>
      <c r="AM32" s="486"/>
    </row>
    <row r="33" spans="2:43" s="8" customFormat="1" ht="22.5" customHeight="1" x14ac:dyDescent="0.3">
      <c r="B33" s="8" t="s">
        <v>119</v>
      </c>
      <c r="C33" s="8" t="s">
        <v>118</v>
      </c>
      <c r="D33" t="s">
        <v>117</v>
      </c>
      <c r="E33" t="s">
        <v>81</v>
      </c>
      <c r="F33"/>
      <c r="G33" s="334" t="str">
        <f>+I33</f>
        <v>레미콘임대</v>
      </c>
      <c r="H33" s="83" t="s">
        <v>49</v>
      </c>
      <c r="I33" s="82" t="s">
        <v>80</v>
      </c>
      <c r="J33" s="45"/>
      <c r="K33" s="46"/>
      <c r="L33" s="48">
        <f>+K33-J33</f>
        <v>0</v>
      </c>
      <c r="M33" s="47"/>
      <c r="N33" s="59">
        <f>+K33-M33</f>
        <v>0</v>
      </c>
      <c r="O33" s="45">
        <f>(IFERROR(HLOOKUP($B33,'[1]10월'!$D$6:$BN$259,3,),)++IFERROR(HLOOKUP($C33,'[1]10월'!$D$6:$BN$259,3,),)+IFERROR(HLOOKUP($D33,'[1]10월'!$D$6:$BN$259,3,),))/1000</f>
        <v>66.666666666666671</v>
      </c>
      <c r="P33" s="46">
        <f>+IFERROR(HLOOKUP($E33,'[2]10월'!$F$6:$CP$99,3,),)/1000</f>
        <v>43.34</v>
      </c>
      <c r="Q33" s="48">
        <f t="shared" si="12"/>
        <v>-23.326666666666668</v>
      </c>
      <c r="R33" s="47">
        <f>+IFERROR(HLOOKUP($E33,'[3]10월'!$F$6:$CC$57,3,),)/1000</f>
        <v>90.84</v>
      </c>
      <c r="S33" s="59">
        <f t="shared" si="13"/>
        <v>-47.5</v>
      </c>
      <c r="T33" s="45">
        <f>(IFERROR(HLOOKUP($B33,'[1]10월'!$D$6:$BN$259,21,),)++IFERROR(HLOOKUP($C33,'[1]10월'!$D$6:$BN$259,21,),)+IFERROR(HLOOKUP($D33,'[1]10월'!$D$6:$BN$259,21,),))/1000</f>
        <v>48.278887666666662</v>
      </c>
      <c r="U33" s="46">
        <f>+IFERROR(HLOOKUP($E33,'[2]10월'!$F$6:$CP$99,16,),)/1000</f>
        <v>23.592101</v>
      </c>
      <c r="V33" s="48">
        <f t="shared" ref="V33:V39" si="16">+U33-T33</f>
        <v>-24.686786666666663</v>
      </c>
      <c r="W33" s="47">
        <f>+IFERROR(HLOOKUP($E33,'[3]10월'!$F$6:$CC$57,16,),)/1000</f>
        <v>71.167959999999994</v>
      </c>
      <c r="X33" s="59">
        <f t="shared" ref="X33:X41" si="17">+U33-W33</f>
        <v>-47.575858999999994</v>
      </c>
      <c r="Y33" s="266"/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  <c r="AJ33" s="484"/>
      <c r="AK33" s="488"/>
    </row>
    <row r="34" spans="2:43" s="8" customFormat="1" ht="22.5" customHeight="1" x14ac:dyDescent="0.3">
      <c r="B34" s="8" t="s">
        <v>120</v>
      </c>
      <c r="C34" s="8" t="s">
        <v>121</v>
      </c>
      <c r="D34"/>
      <c r="E34" t="s">
        <v>31</v>
      </c>
      <c r="F34"/>
      <c r="G34" s="334" t="str">
        <f t="shared" ref="G34:G39" si="18">+I34</f>
        <v>임대</v>
      </c>
      <c r="H34" s="83"/>
      <c r="I34" s="82" t="s">
        <v>44</v>
      </c>
      <c r="J34" s="45"/>
      <c r="K34" s="46"/>
      <c r="L34" s="48">
        <f>+K34-J34</f>
        <v>0</v>
      </c>
      <c r="M34" s="47">
        <v>0</v>
      </c>
      <c r="N34" s="59">
        <f t="shared" ref="N34:N41" si="19">+K34-M34</f>
        <v>0</v>
      </c>
      <c r="O34" s="45">
        <f>(+IFERROR(HLOOKUP($B34,'[1]10월'!$D$6:$BN$259,3,),)+IFERROR(HLOOKUP($C34,'[1]10월'!$D$6:$BN$259,3,),))/1000</f>
        <v>74.591499999999996</v>
      </c>
      <c r="P34" s="46">
        <f>+IFERROR(HLOOKUP($E34,'[2]10월'!$F$6:$CP$99,3,),)/1000</f>
        <v>74.244304</v>
      </c>
      <c r="Q34" s="48">
        <f>+P34-O34</f>
        <v>-0.34719599999999673</v>
      </c>
      <c r="R34" s="47">
        <f>+IFERROR(HLOOKUP($E34,'[3]10월'!$F$6:$CC$57,3,),)/1000</f>
        <v>73.837421000000006</v>
      </c>
      <c r="S34" s="59">
        <f t="shared" si="13"/>
        <v>0.40688299999999344</v>
      </c>
      <c r="T34" s="45">
        <f>(+IFERROR(HLOOKUP($B34,'[1]10월'!$D$6:$BN$259,21,),)+IFERROR(HLOOKUP($C34,'[1]10월'!$D$6:$BN$259,21,),))/1000</f>
        <v>64.441000000000003</v>
      </c>
      <c r="U34" s="46">
        <f>+IFERROR(HLOOKUP($E34,'[2]10월'!$F$6:$CP$99,16,),)/1000</f>
        <v>66.994834999999995</v>
      </c>
      <c r="V34" s="48">
        <f t="shared" si="16"/>
        <v>2.5538349999999923</v>
      </c>
      <c r="W34" s="47">
        <f>+IFERROR(HLOOKUP($E34,'[3]10월'!$F$6:$CC$57,16,),)/1000</f>
        <v>63.70566500000001</v>
      </c>
      <c r="X34" s="59">
        <f t="shared" si="17"/>
        <v>3.2891699999999844</v>
      </c>
      <c r="Y34" s="266"/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  <c r="AJ34" s="484"/>
      <c r="AK34" s="488"/>
    </row>
    <row r="35" spans="2:43" s="8" customFormat="1" ht="22.5" customHeight="1" x14ac:dyDescent="0.3">
      <c r="B35" s="8" t="s">
        <v>122</v>
      </c>
      <c r="D35"/>
      <c r="E35"/>
      <c r="F35"/>
      <c r="G35" s="334" t="str">
        <f t="shared" si="18"/>
        <v>공통비</v>
      </c>
      <c r="H35" s="81"/>
      <c r="I35" s="82" t="s">
        <v>50</v>
      </c>
      <c r="J35" s="45"/>
      <c r="K35" s="46"/>
      <c r="L35" s="48">
        <f>+K35-J35</f>
        <v>0</v>
      </c>
      <c r="M35" s="47"/>
      <c r="N35" s="59">
        <f t="shared" si="19"/>
        <v>0</v>
      </c>
      <c r="O35" s="45"/>
      <c r="P35" s="46"/>
      <c r="Q35" s="48">
        <f>+P35-O35</f>
        <v>0</v>
      </c>
      <c r="R35" s="47"/>
      <c r="S35" s="59">
        <f>+P35-R35</f>
        <v>0</v>
      </c>
      <c r="T35" s="45">
        <f>-'[1]10월'!$Z$22/1000</f>
        <v>-1372.552771281458</v>
      </c>
      <c r="U35" s="46">
        <f>+-'[2]10월'!$Z$22/1000</f>
        <v>-1374.3193157387198</v>
      </c>
      <c r="V35" s="48">
        <f t="shared" si="16"/>
        <v>-1.7665444572617162</v>
      </c>
      <c r="W35" s="47">
        <f>+-'[3]10월'!$Z$22/1000</f>
        <v>-1196.5785099009242</v>
      </c>
      <c r="X35" s="59">
        <f t="shared" si="17"/>
        <v>-177.74080583779551</v>
      </c>
      <c r="Y35" s="479"/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J35" s="484"/>
      <c r="AK35" s="488"/>
      <c r="AL35" s="86"/>
    </row>
    <row r="36" spans="2:43" s="8" customFormat="1" ht="22.5" customHeight="1" x14ac:dyDescent="0.3">
      <c r="D36"/>
      <c r="E36"/>
      <c r="F36"/>
      <c r="G36" s="334" t="str">
        <f t="shared" si="18"/>
        <v>OPC 소급분</v>
      </c>
      <c r="H36" s="81"/>
      <c r="I36" s="82" t="s">
        <v>95</v>
      </c>
      <c r="J36" s="45"/>
      <c r="K36" s="46"/>
      <c r="L36" s="48"/>
      <c r="M36" s="47"/>
      <c r="N36" s="59">
        <f t="shared" si="19"/>
        <v>0</v>
      </c>
      <c r="O36" s="45"/>
      <c r="P36" s="46"/>
      <c r="Q36" s="48">
        <f>+P36-O36</f>
        <v>0</v>
      </c>
      <c r="R36" s="47"/>
      <c r="S36" s="59">
        <f>+P36-R36</f>
        <v>0</v>
      </c>
      <c r="T36" s="45"/>
      <c r="U36" s="46">
        <f>'[2]10월'!$BD$26/1000</f>
        <v>497.23331999999999</v>
      </c>
      <c r="V36" s="48">
        <f t="shared" si="16"/>
        <v>497.23331999999999</v>
      </c>
      <c r="W36" s="47">
        <f>'[3]10월'!$BD$26/1000</f>
        <v>250</v>
      </c>
      <c r="X36" s="59">
        <f t="shared" si="17"/>
        <v>247.23331999999999</v>
      </c>
      <c r="Y36" s="266"/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J36" s="484"/>
      <c r="AK36" s="488"/>
      <c r="AL36" s="86"/>
    </row>
    <row r="37" spans="2:43" s="8" customFormat="1" ht="22.5" customHeight="1" x14ac:dyDescent="0.3">
      <c r="D37"/>
      <c r="E37"/>
      <c r="F37"/>
      <c r="G37" s="334" t="str">
        <f t="shared" si="18"/>
        <v>대손</v>
      </c>
      <c r="H37" s="81"/>
      <c r="I37" s="82" t="s">
        <v>96</v>
      </c>
      <c r="J37" s="45"/>
      <c r="K37" s="46"/>
      <c r="L37" s="48"/>
      <c r="M37" s="47"/>
      <c r="N37" s="59">
        <f t="shared" si="19"/>
        <v>0</v>
      </c>
      <c r="O37" s="45"/>
      <c r="P37" s="46"/>
      <c r="Q37" s="48">
        <f>+P37-O37</f>
        <v>0</v>
      </c>
      <c r="R37" s="47"/>
      <c r="S37" s="59">
        <f>+P37-R37</f>
        <v>0</v>
      </c>
      <c r="T37" s="45"/>
      <c r="U37" s="46">
        <f>'[2]10월'!$BE$26/1000</f>
        <v>0</v>
      </c>
      <c r="V37" s="48">
        <f t="shared" si="16"/>
        <v>0</v>
      </c>
      <c r="W37" s="47">
        <f>'[3]10월'!$BE$26/1000</f>
        <v>0</v>
      </c>
      <c r="X37" s="59">
        <f t="shared" si="17"/>
        <v>0</v>
      </c>
      <c r="Y37" s="228"/>
      <c r="Z37" s="229"/>
      <c r="AA37" s="229"/>
      <c r="AB37" s="229"/>
      <c r="AC37" s="229"/>
      <c r="AD37" s="229"/>
      <c r="AE37" s="229"/>
      <c r="AF37" s="229"/>
      <c r="AG37" s="50"/>
      <c r="AH37" s="17"/>
      <c r="AI37" s="18"/>
      <c r="AJ37" s="484"/>
      <c r="AK37" s="488"/>
      <c r="AL37" s="86"/>
      <c r="AO37" s="484"/>
      <c r="AP37" s="484"/>
      <c r="AQ37" s="484"/>
    </row>
    <row r="38" spans="2:43" s="8" customFormat="1" ht="22.5" customHeight="1" x14ac:dyDescent="0.3">
      <c r="D38"/>
      <c r="E38"/>
      <c r="F38"/>
      <c r="G38" s="334" t="str">
        <f t="shared" si="18"/>
        <v>미운영 공장</v>
      </c>
      <c r="H38" s="81"/>
      <c r="I38" s="82" t="s">
        <v>112</v>
      </c>
      <c r="J38" s="45"/>
      <c r="K38" s="46"/>
      <c r="L38" s="48"/>
      <c r="M38" s="47">
        <f>SUM(M54:M59)</f>
        <v>0</v>
      </c>
      <c r="N38" s="59">
        <f t="shared" si="19"/>
        <v>0</v>
      </c>
      <c r="O38" s="45"/>
      <c r="P38" s="46"/>
      <c r="Q38" s="48">
        <f>+P38-O38</f>
        <v>0</v>
      </c>
      <c r="R38" s="47">
        <f>+IFERROR(HLOOKUP($I$38,'[3]10월'!$F$6:$BJ$50,3,),)/1000</f>
        <v>0</v>
      </c>
      <c r="S38" s="59">
        <f>+P38-R38</f>
        <v>0</v>
      </c>
      <c r="T38" s="45">
        <f>SUM('[1]10월'!$AM$26:$AQ$26)/1000</f>
        <v>-32.543495999999998</v>
      </c>
      <c r="U38" s="46">
        <f>+'[2]10월'!$BF$26/1000</f>
        <v>-31.506357999999999</v>
      </c>
      <c r="V38" s="48">
        <f t="shared" si="16"/>
        <v>1.0371379999999988</v>
      </c>
      <c r="W38" s="47">
        <f>+'[3]10월'!$BF$26/1000</f>
        <v>-32.623865999999992</v>
      </c>
      <c r="X38" s="59">
        <f t="shared" si="17"/>
        <v>1.1175079999999937</v>
      </c>
      <c r="Y38" s="228"/>
      <c r="Z38" s="229"/>
      <c r="AA38" s="229"/>
      <c r="AB38" s="229"/>
      <c r="AC38" s="229"/>
      <c r="AD38" s="229"/>
      <c r="AE38" s="229"/>
      <c r="AF38" s="229"/>
      <c r="AG38" s="50"/>
      <c r="AH38" s="17"/>
      <c r="AI38" s="18"/>
      <c r="AJ38" s="484"/>
      <c r="AK38" s="488"/>
      <c r="AL38" s="86"/>
      <c r="AQ38" s="484"/>
    </row>
    <row r="39" spans="2:43" s="8" customFormat="1" ht="22.5" customHeight="1" x14ac:dyDescent="0.3">
      <c r="B39" t="s">
        <v>30</v>
      </c>
      <c r="D39"/>
      <c r="G39" s="334" t="str">
        <f t="shared" si="18"/>
        <v>퇴직위로금</v>
      </c>
      <c r="H39" s="81"/>
      <c r="I39" s="82" t="s">
        <v>163</v>
      </c>
      <c r="J39" s="45"/>
      <c r="K39" s="46"/>
      <c r="L39" s="48"/>
      <c r="M39" s="47"/>
      <c r="N39" s="59"/>
      <c r="O39" s="45"/>
      <c r="P39" s="46"/>
      <c r="Q39" s="48"/>
      <c r="R39" s="47"/>
      <c r="S39" s="59"/>
      <c r="T39" s="45"/>
      <c r="U39" s="46">
        <f>+'[2]10월'!$BG$26/1000</f>
        <v>0</v>
      </c>
      <c r="V39" s="48">
        <f t="shared" si="16"/>
        <v>0</v>
      </c>
      <c r="W39" s="47"/>
      <c r="X39" s="59">
        <f t="shared" si="17"/>
        <v>0</v>
      </c>
      <c r="Y39" s="233"/>
      <c r="Z39" s="229"/>
      <c r="AA39" s="229"/>
      <c r="AB39" s="229"/>
      <c r="AC39" s="229"/>
      <c r="AD39" s="229"/>
      <c r="AE39" s="229"/>
      <c r="AF39" s="229"/>
      <c r="AG39" s="50"/>
      <c r="AH39" s="17"/>
      <c r="AI39" s="18"/>
      <c r="AJ39" s="484"/>
      <c r="AK39" s="488"/>
    </row>
    <row r="40" spans="2:43" s="8" customFormat="1" ht="22.5" customHeight="1" x14ac:dyDescent="0.3">
      <c r="G40" s="334" t="str">
        <f>+I40</f>
        <v>기타</v>
      </c>
      <c r="H40" s="81"/>
      <c r="I40" s="82" t="s">
        <v>4</v>
      </c>
      <c r="J40" s="45"/>
      <c r="K40" s="46"/>
      <c r="L40" s="54">
        <f>+K40-J40</f>
        <v>0</v>
      </c>
      <c r="M40" s="60"/>
      <c r="N40" s="61">
        <f>+K40-M40</f>
        <v>0</v>
      </c>
      <c r="O40" s="45">
        <f>IFERROR(HLOOKUP($B39,'[1]10월'!$D$6:$BN$259,3,),)/1000</f>
        <v>1.77</v>
      </c>
      <c r="P40" s="46">
        <f>+('[2]10월'!$F$8-SUM('[2]10월'!$Z$8,'[2]10월'!$AH$8,'[2]10월'!$AN$8,'[2]10월'!$AO$8,'[2]10월'!$BA$8,'[2]10월'!$BD$8,'[2]10월'!$BE$8,'[2]10월'!$BF$8))/1000</f>
        <v>1.6948999999985099</v>
      </c>
      <c r="Q40" s="54">
        <f>+P40-O40</f>
        <v>-7.5100000001490086E-2</v>
      </c>
      <c r="R40" s="60">
        <f>+('[3]10월'!$F$8-SUM('[3]10월'!$Z$8,'[3]10월'!$AH$8,'[3]10월'!$AN$8,'[3]10월'!$AO$8,'[3]10월'!$BA$8,'[3]10월'!$BD$8,'[3]10월'!$BE$8,'[3]10월'!$BF$8))/1000</f>
        <v>1.8182000000029803</v>
      </c>
      <c r="S40" s="61">
        <f>+P40-R40</f>
        <v>-0.12330000000447039</v>
      </c>
      <c r="T40" s="45">
        <f>+('[1]10월'!$E$26-'[1]10월'!$Z$26-'[1]10월'!$AA$26-'[1]10월'!$AE$26-'[1]10월'!$AL$26-'[1]10월'!$AM$26-'[1]10월'!$AN$26-'[1]10월'!$AO$26-'[1]10월'!$AP$26-'[1]10월'!$AQ$26-'[1]10월'!$AS$26+'[1]10월'!$AS$26)/1000</f>
        <v>-85.138374999994994</v>
      </c>
      <c r="U40" s="46">
        <f>+('[2]10월'!$F$26-SUM('[2]10월'!$Z$26,'[2]10월'!$AH$26,'[2]10월'!$AN$26,'[2]10월'!$AO$26,'[2]10월'!$BA$26,'[2]10월'!$BD$26,'[2]10월'!$BE$26,'[2]10월'!$BF$26))/1000-U39</f>
        <v>-11.731440999999933</v>
      </c>
      <c r="V40" s="48">
        <f>+U40-T40</f>
        <v>73.406933999995061</v>
      </c>
      <c r="W40" s="60">
        <f>+('[3]10월'!$F$26-SUM('[3]10월'!$Z$26,'[3]10월'!$AH$26,'[3]10월'!$AN$26,'[3]10월'!$AO$26,'[3]10월'!$BA$26,'[3]10월'!$BD$26,'[3]10월'!$BE$26,'[3]10월'!$BF$26))/1000</f>
        <v>-16.754540999998337</v>
      </c>
      <c r="X40" s="59">
        <f t="shared" si="17"/>
        <v>5.0230999999984043</v>
      </c>
      <c r="Y40" s="228"/>
      <c r="Z40" s="229"/>
      <c r="AA40" s="229"/>
      <c r="AB40" s="229"/>
      <c r="AC40" s="229"/>
      <c r="AD40" s="229"/>
      <c r="AE40" s="229"/>
      <c r="AF40" s="229"/>
      <c r="AG40" s="50"/>
      <c r="AH40" s="30"/>
      <c r="AJ40" s="484"/>
      <c r="AK40" s="488"/>
    </row>
    <row r="41" spans="2:43" s="3" customFormat="1" ht="22.5" customHeight="1" x14ac:dyDescent="0.3">
      <c r="D41" s="293"/>
      <c r="G41" s="338"/>
      <c r="H41" s="134" t="s">
        <v>97</v>
      </c>
      <c r="I41" s="135"/>
      <c r="J41" s="284">
        <f>SUM(J33:J40)</f>
        <v>0</v>
      </c>
      <c r="K41" s="285">
        <f>SUM(K33:K40)</f>
        <v>0</v>
      </c>
      <c r="L41" s="285">
        <f>+K41-J41</f>
        <v>0</v>
      </c>
      <c r="M41" s="285">
        <f>SUM(M33:M40)</f>
        <v>0</v>
      </c>
      <c r="N41" s="286">
        <f t="shared" si="19"/>
        <v>0</v>
      </c>
      <c r="O41" s="136">
        <f>SUM(O33:O40)</f>
        <v>143.02816666666669</v>
      </c>
      <c r="P41" s="137">
        <f>SUM(P33:P40)</f>
        <v>119.27920399999851</v>
      </c>
      <c r="Q41" s="141">
        <f t="shared" si="12"/>
        <v>-23.748962666668177</v>
      </c>
      <c r="R41" s="142">
        <f>SUM(R33:R40)</f>
        <v>166.49562100000298</v>
      </c>
      <c r="S41" s="143">
        <f>+P41-R41</f>
        <v>-47.216417000004469</v>
      </c>
      <c r="T41" s="136">
        <f>SUM(T33:T40)</f>
        <v>-1377.5147546147864</v>
      </c>
      <c r="U41" s="137">
        <f>SUM(U33:U40)</f>
        <v>-829.73685873871966</v>
      </c>
      <c r="V41" s="141">
        <f>+U41-T41</f>
        <v>547.77789587606674</v>
      </c>
      <c r="W41" s="142">
        <f>SUM(W33:W40)</f>
        <v>-861.08329190092263</v>
      </c>
      <c r="X41" s="143">
        <f t="shared" si="17"/>
        <v>31.34643316220297</v>
      </c>
      <c r="Y41" s="230"/>
      <c r="Z41" s="231"/>
      <c r="AA41" s="231"/>
      <c r="AB41" s="231"/>
      <c r="AC41" s="231"/>
      <c r="AD41" s="231"/>
      <c r="AE41" s="231"/>
      <c r="AF41" s="231"/>
      <c r="AG41" s="232"/>
      <c r="AH41" s="25"/>
      <c r="AJ41" s="486"/>
      <c r="AK41" s="488"/>
    </row>
    <row r="42" spans="2:43" s="8" customFormat="1" ht="19.5" customHeight="1" x14ac:dyDescent="0.3">
      <c r="G42" s="334"/>
      <c r="J42" s="32"/>
      <c r="K42" s="32"/>
      <c r="L42" s="31"/>
      <c r="M42" s="31"/>
      <c r="N42" s="31"/>
      <c r="O42" s="32"/>
      <c r="P42" s="32"/>
      <c r="Q42" s="31"/>
      <c r="R42" s="31"/>
      <c r="S42" s="31"/>
      <c r="T42" s="32"/>
      <c r="U42" s="32">
        <v>19</v>
      </c>
      <c r="V42" s="31">
        <v>12.4</v>
      </c>
      <c r="W42" s="31"/>
      <c r="X42" s="31"/>
      <c r="Y42" s="32"/>
      <c r="Z42" s="32"/>
      <c r="AA42" s="32"/>
      <c r="AB42" s="32"/>
      <c r="AC42" s="32"/>
      <c r="AD42" s="32"/>
      <c r="AE42" s="32"/>
      <c r="AF42" s="32"/>
      <c r="AG42" s="32"/>
      <c r="AH42" s="30"/>
      <c r="AJ42" s="484"/>
      <c r="AK42" s="488"/>
      <c r="AO42" s="484"/>
    </row>
    <row r="43" spans="2:43" s="3" customFormat="1" ht="22.5" customHeight="1" x14ac:dyDescent="0.3">
      <c r="G43" s="339">
        <f>+P43/O43</f>
        <v>0.69888458715325641</v>
      </c>
      <c r="H43" s="277" t="s">
        <v>32</v>
      </c>
      <c r="I43" s="278"/>
      <c r="J43" s="290"/>
      <c r="K43" s="291"/>
      <c r="L43" s="291"/>
      <c r="M43" s="291"/>
      <c r="N43" s="292"/>
      <c r="O43" s="279">
        <f>+O27+O32+O28+O41</f>
        <v>42135.588765734858</v>
      </c>
      <c r="P43" s="280">
        <f>+P27+P32+P28+P41</f>
        <v>29447.913558999993</v>
      </c>
      <c r="Q43" s="281">
        <f t="shared" si="12"/>
        <v>-12687.675206734864</v>
      </c>
      <c r="R43" s="282">
        <f>+R27+R32+R28+R41</f>
        <v>38619.550917000008</v>
      </c>
      <c r="S43" s="283">
        <f>+P43-R43</f>
        <v>-9171.6373580000145</v>
      </c>
      <c r="T43" s="279">
        <f>+T27+T32+T28+T41</f>
        <v>2024.9933631125054</v>
      </c>
      <c r="U43" s="280">
        <f>+U27+U32+U28+U41</f>
        <v>-437.58792399328973</v>
      </c>
      <c r="V43" s="281">
        <f>+U43-T43</f>
        <v>-2462.5812871057951</v>
      </c>
      <c r="W43" s="282">
        <f>+W27+W32+W28+W41</f>
        <v>1174.2356200026786</v>
      </c>
      <c r="X43" s="283">
        <f>+U43-W43</f>
        <v>-1611.8235439959683</v>
      </c>
      <c r="Y43" s="608"/>
      <c r="Z43" s="609"/>
      <c r="AA43" s="609"/>
      <c r="AB43" s="609"/>
      <c r="AC43" s="609"/>
      <c r="AD43" s="609"/>
      <c r="AE43" s="609"/>
      <c r="AF43" s="609"/>
      <c r="AG43" s="610"/>
      <c r="AH43" s="25"/>
      <c r="AJ43" s="486"/>
      <c r="AK43" s="488"/>
      <c r="AO43" s="486"/>
    </row>
    <row r="44" spans="2:43" s="33" customFormat="1" x14ac:dyDescent="0.3">
      <c r="G44" s="336">
        <f>+U43/T43</f>
        <v>-0.21609351021313844</v>
      </c>
      <c r="P44" s="295">
        <f>+P43/O43</f>
        <v>0.69888458715325641</v>
      </c>
      <c r="R44" s="295">
        <f>+P43/R43</f>
        <v>0.76251310177812726</v>
      </c>
      <c r="T44" s="295">
        <f>+T43/O43</f>
        <v>4.8058978702565397E-2</v>
      </c>
      <c r="U44" s="295">
        <f>+U43/P43</f>
        <v>-1.4859725906100818E-2</v>
      </c>
      <c r="AC44" s="34"/>
      <c r="AF44" s="34"/>
      <c r="AJ44" s="487"/>
      <c r="AK44" s="488"/>
    </row>
    <row r="45" spans="2:43" s="33" customFormat="1" ht="17.25" thickBot="1" x14ac:dyDescent="0.35">
      <c r="G45" s="340"/>
      <c r="AC45" s="34"/>
      <c r="AF45" s="34"/>
      <c r="AJ45" s="487"/>
    </row>
    <row r="46" spans="2:43" s="33" customFormat="1" x14ac:dyDescent="0.3">
      <c r="F46" s="295">
        <f>+K28/M28</f>
        <v>0.74182044866656394</v>
      </c>
      <c r="G46" s="336">
        <f>+K28/J28</f>
        <v>0.6050562727272728</v>
      </c>
      <c r="I46" s="605" t="s">
        <v>82</v>
      </c>
      <c r="J46" s="126">
        <f>+'[1]10월'!$Z$7/1000</f>
        <v>276</v>
      </c>
      <c r="K46" s="127">
        <f>+'[2]10월'!$AI$7/1000</f>
        <v>215.28800000000001</v>
      </c>
      <c r="L46" s="127"/>
      <c r="M46" s="127">
        <f>+'[3]10월'!$Z$7/1000</f>
        <v>296.55700000000002</v>
      </c>
      <c r="N46" s="127"/>
      <c r="O46" s="127">
        <f>+'[1]10월'!$E$8/1000</f>
        <v>42135.588765734858</v>
      </c>
      <c r="P46" s="127">
        <f>+'[2]10월'!$F$8/1000</f>
        <v>29447.913558999997</v>
      </c>
      <c r="Q46" s="127"/>
      <c r="R46" s="127">
        <f>+'[3]10월'!$F$8/1000</f>
        <v>38619.550917</v>
      </c>
      <c r="S46" s="127"/>
      <c r="T46" s="132">
        <f>+'[1]10월'!$E$26/1000</f>
        <v>2024.9933631125023</v>
      </c>
      <c r="U46" s="127">
        <f>+'[2]10월'!$F$26/1000</f>
        <v>-437.58792399328945</v>
      </c>
      <c r="V46" s="127"/>
      <c r="W46" s="127">
        <f>+'[3]10월'!$F$26/1000</f>
        <v>1174.2356200026786</v>
      </c>
      <c r="X46" s="128"/>
      <c r="AC46" s="34"/>
      <c r="AF46" s="34"/>
      <c r="AJ46" s="487"/>
    </row>
    <row r="47" spans="2:43" s="33" customFormat="1" ht="17.25" thickBot="1" x14ac:dyDescent="0.35">
      <c r="F47" s="295">
        <f>+K32/M32</f>
        <v>1.1081544350141455</v>
      </c>
      <c r="G47" s="336">
        <f>+K32/J32</f>
        <v>0.61532460889883478</v>
      </c>
      <c r="I47" s="605"/>
      <c r="J47" s="131">
        <f>+J46-J27</f>
        <v>0</v>
      </c>
      <c r="K47" s="129">
        <f>+K46-K27</f>
        <v>0</v>
      </c>
      <c r="L47" s="129"/>
      <c r="M47" s="129">
        <f>+M46-M27</f>
        <v>0</v>
      </c>
      <c r="N47" s="129"/>
      <c r="O47" s="133">
        <f>+O46-O43</f>
        <v>0</v>
      </c>
      <c r="P47" s="133">
        <f>+P46-P43</f>
        <v>0</v>
      </c>
      <c r="Q47" s="129"/>
      <c r="R47" s="133">
        <f>+R46-R43</f>
        <v>0</v>
      </c>
      <c r="S47" s="129"/>
      <c r="T47" s="133">
        <f>+T46-T43</f>
        <v>-3.1832314562052488E-12</v>
      </c>
      <c r="U47" s="133">
        <f>+U46-U43</f>
        <v>0</v>
      </c>
      <c r="V47" s="129"/>
      <c r="W47" s="129">
        <f>+W46-W43</f>
        <v>0</v>
      </c>
      <c r="X47" s="130"/>
      <c r="AC47" s="34"/>
      <c r="AF47" s="34"/>
      <c r="AG47" s="33" t="s">
        <v>83</v>
      </c>
      <c r="AJ47" s="487"/>
    </row>
    <row r="48" spans="2:43" x14ac:dyDescent="0.3">
      <c r="T48" s="294"/>
      <c r="U48" s="294"/>
      <c r="V48" s="294"/>
    </row>
    <row r="49" spans="10:36" x14ac:dyDescent="0.3">
      <c r="O49" s="492">
        <f>+O43-O28</f>
        <v>30157.020151334858</v>
      </c>
      <c r="P49" s="492">
        <f>+P43-P28</f>
        <v>22524.137061999994</v>
      </c>
      <c r="Q49" s="492">
        <f>+P49-O49</f>
        <v>-7632.8830893348641</v>
      </c>
      <c r="T49" s="294"/>
      <c r="U49" s="294"/>
      <c r="V49" s="294"/>
      <c r="AC49" s="34"/>
      <c r="AD49" s="33"/>
      <c r="AE49" s="33"/>
      <c r="AF49" s="34"/>
    </row>
    <row r="50" spans="10:36" x14ac:dyDescent="0.3">
      <c r="O50" s="492">
        <f>+O49/100</f>
        <v>301.57020151334859</v>
      </c>
      <c r="P50" s="492">
        <f>+P49/100</f>
        <v>225.24137061999994</v>
      </c>
      <c r="Q50" s="492">
        <f>+P50-O50</f>
        <v>-76.328830893348652</v>
      </c>
      <c r="S50" t="s">
        <v>40</v>
      </c>
      <c r="T50" s="236">
        <f>(+T27+T35)/100</f>
        <v>16.200780723021786</v>
      </c>
      <c r="U50" s="236">
        <f>(+U27+U35)/100</f>
        <v>-8.2246017072871993</v>
      </c>
      <c r="V50" s="236">
        <f>+U50-T50</f>
        <v>-24.425382430308986</v>
      </c>
      <c r="W50" s="235">
        <f>+U50/T50-1</f>
        <v>-1.5076669975293102</v>
      </c>
      <c r="AC50" s="34"/>
      <c r="AD50" s="33"/>
      <c r="AE50" s="33"/>
      <c r="AF50" s="34"/>
      <c r="AJ50" s="492"/>
    </row>
    <row r="51" spans="10:36" x14ac:dyDescent="0.3">
      <c r="Q51" s="235">
        <f>+P50/O50</f>
        <v>0.74689531488750205</v>
      </c>
      <c r="S51" t="s">
        <v>1</v>
      </c>
      <c r="T51" s="6">
        <f>+T32/100</f>
        <v>2.0981672463247647</v>
      </c>
      <c r="U51" s="6">
        <f>+U32/100</f>
        <v>-1.2262342526456889</v>
      </c>
      <c r="V51" s="236">
        <f>+U51-T51</f>
        <v>-3.3244014989704533</v>
      </c>
      <c r="AC51" s="34"/>
      <c r="AD51" s="33"/>
      <c r="AE51" s="33"/>
      <c r="AF51" s="34"/>
    </row>
    <row r="52" spans="10:36" x14ac:dyDescent="0.3">
      <c r="S52" t="s">
        <v>44</v>
      </c>
      <c r="T52" s="6">
        <f>(T33+T34)/100</f>
        <v>1.1271988766666667</v>
      </c>
      <c r="U52" s="6">
        <f>(U33+U34)/100</f>
        <v>0.90586935999999996</v>
      </c>
      <c r="V52" s="294">
        <f>+U52-T52</f>
        <v>-0.22132951666666678</v>
      </c>
      <c r="AC52" s="34"/>
      <c r="AD52" s="33"/>
      <c r="AE52" s="33"/>
      <c r="AF52" s="34"/>
      <c r="AJ52" s="492"/>
    </row>
    <row r="53" spans="10:36" x14ac:dyDescent="0.3">
      <c r="S53" s="236" t="s">
        <v>4</v>
      </c>
      <c r="T53" s="236">
        <f>((T46-T28)/100)-T50-T51-T52</f>
        <v>-1.1768187099999814</v>
      </c>
      <c r="U53" s="236">
        <f>((U46-U28)/100)-U50-U51-U52</f>
        <v>4.539955210000004</v>
      </c>
      <c r="V53" s="236">
        <f>+U53-T53</f>
        <v>5.7167739199999854</v>
      </c>
      <c r="AC53" s="34"/>
      <c r="AD53" s="33"/>
      <c r="AE53" s="33"/>
      <c r="AF53" s="34"/>
      <c r="AJ53" s="492"/>
    </row>
    <row r="54" spans="10:36" x14ac:dyDescent="0.3"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>
        <f>SUM(T52:T53)</f>
        <v>-4.9619833333314656E-2</v>
      </c>
      <c r="U54" s="236">
        <f>SUM(U52:U53)</f>
        <v>5.4458245700000036</v>
      </c>
      <c r="V54" s="236">
        <f>SUM(V52:V53)</f>
        <v>5.4954444033333187</v>
      </c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  <c r="AJ54" s="492"/>
    </row>
    <row r="55" spans="10:36" x14ac:dyDescent="0.3"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>
        <f>SUM(T50:T53)</f>
        <v>18.249328136013236</v>
      </c>
      <c r="U55" s="236">
        <f>SUM(U50:U53)</f>
        <v>-4.0050113899328839</v>
      </c>
      <c r="V55" s="236">
        <f>+U55-T55</f>
        <v>-22.254339525946122</v>
      </c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  <c r="AJ55" s="492"/>
    </row>
    <row r="56" spans="10:36" x14ac:dyDescent="0.3">
      <c r="J56" s="236"/>
      <c r="K56" s="236"/>
      <c r="L56" s="236"/>
      <c r="M56" s="236"/>
      <c r="N56" s="236"/>
      <c r="O56" s="236"/>
      <c r="P56" s="236"/>
      <c r="Q56" s="236"/>
      <c r="R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  <c r="AJ56" s="492"/>
    </row>
    <row r="57" spans="10:36" x14ac:dyDescent="0.3"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</row>
    <row r="58" spans="10:36" x14ac:dyDescent="0.3">
      <c r="J58" s="236"/>
      <c r="K58" s="236"/>
      <c r="L58" s="236"/>
      <c r="M58" s="236"/>
      <c r="N58" s="236"/>
      <c r="O58" s="236"/>
      <c r="P58" s="236"/>
      <c r="Q58" s="236"/>
      <c r="R58" s="236"/>
      <c r="S58" s="236" t="s">
        <v>44</v>
      </c>
      <c r="T58" s="294">
        <f>+(T33+T34)/100</f>
        <v>1.1271988766666667</v>
      </c>
      <c r="U58" s="294">
        <f>+(U33+U34)/100</f>
        <v>0.90586935999999996</v>
      </c>
      <c r="V58" s="236">
        <f>+U58-T58</f>
        <v>-0.22132951666666678</v>
      </c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  <c r="AJ58" s="492"/>
    </row>
    <row r="59" spans="10:36" x14ac:dyDescent="0.3">
      <c r="J59" s="236"/>
      <c r="K59" s="236"/>
      <c r="L59" s="236"/>
      <c r="M59" s="236"/>
      <c r="N59" s="236"/>
      <c r="O59" s="236"/>
      <c r="P59" s="236"/>
      <c r="Q59" s="236"/>
      <c r="R59" s="236"/>
      <c r="S59" s="236" t="str">
        <f>+I36</f>
        <v>OPC 소급분</v>
      </c>
      <c r="T59" s="236">
        <f t="shared" ref="T59:U61" si="20">+T36/100</f>
        <v>0</v>
      </c>
      <c r="U59" s="236">
        <f t="shared" si="20"/>
        <v>4.9723331999999996</v>
      </c>
      <c r="V59" s="236">
        <f>+U59-T59</f>
        <v>4.9723331999999996</v>
      </c>
      <c r="W59" s="236"/>
      <c r="X59" s="236"/>
      <c r="Y59" s="236"/>
      <c r="Z59" s="236"/>
      <c r="AA59" s="236"/>
      <c r="AB59" s="236"/>
      <c r="AC59" s="236"/>
      <c r="AD59" s="236"/>
      <c r="AE59" s="236"/>
      <c r="AF59" s="236"/>
      <c r="AG59" s="236"/>
      <c r="AJ59" s="492"/>
    </row>
    <row r="60" spans="10:36" x14ac:dyDescent="0.3">
      <c r="S60" s="236" t="str">
        <f>+I37</f>
        <v>대손</v>
      </c>
      <c r="T60" s="236">
        <f t="shared" si="20"/>
        <v>0</v>
      </c>
      <c r="U60" s="236">
        <f t="shared" si="20"/>
        <v>0</v>
      </c>
      <c r="V60" s="236">
        <f>+U60-T60</f>
        <v>0</v>
      </c>
      <c r="AC60" s="236"/>
      <c r="AD60" s="236"/>
      <c r="AE60" s="236"/>
      <c r="AF60" s="236"/>
      <c r="AJ60" s="492"/>
    </row>
    <row r="61" spans="10:36" x14ac:dyDescent="0.3">
      <c r="S61" s="236" t="str">
        <f>+I38</f>
        <v>미운영 공장</v>
      </c>
      <c r="T61" s="236">
        <f t="shared" si="20"/>
        <v>-0.32543496</v>
      </c>
      <c r="U61" s="236">
        <f t="shared" si="20"/>
        <v>-0.31506358000000001</v>
      </c>
      <c r="V61" s="236">
        <f>+U61-T61</f>
        <v>1.0371379999999986E-2</v>
      </c>
      <c r="AC61" s="236"/>
      <c r="AD61" s="236"/>
      <c r="AE61" s="236"/>
      <c r="AJ61" s="492"/>
    </row>
    <row r="62" spans="10:36" x14ac:dyDescent="0.3">
      <c r="S62" s="236" t="str">
        <f>+I40</f>
        <v>기타</v>
      </c>
      <c r="T62" s="236">
        <f>+T40/100</f>
        <v>-0.85138374999994992</v>
      </c>
      <c r="U62" s="236">
        <f>+U40/100</f>
        <v>-0.11731440999999933</v>
      </c>
      <c r="V62" s="236">
        <f>+U62-T62</f>
        <v>0.73406933999995061</v>
      </c>
      <c r="AC62" s="236"/>
      <c r="AD62" s="236"/>
      <c r="AE62" s="236"/>
    </row>
    <row r="63" spans="10:36" x14ac:dyDescent="0.3">
      <c r="T63" s="6">
        <f>SUM(T58:T62)</f>
        <v>-4.9619833333283125E-2</v>
      </c>
      <c r="U63" s="6">
        <f>SUM(U58:U62)</f>
        <v>5.4458245699999992</v>
      </c>
      <c r="V63" s="6">
        <f>SUM(V58:V62)</f>
        <v>5.4954444033332832</v>
      </c>
      <c r="AC63" s="236"/>
      <c r="AE63" s="236"/>
    </row>
    <row r="64" spans="10:36" x14ac:dyDescent="0.3">
      <c r="AC64" s="236"/>
      <c r="AE64" s="236"/>
    </row>
    <row r="65" spans="20:31" x14ac:dyDescent="0.3">
      <c r="AC65" s="236"/>
      <c r="AE65" s="236"/>
    </row>
    <row r="66" spans="20:31" x14ac:dyDescent="0.3">
      <c r="T66" s="6">
        <f>SUM(T33:T34,T36,T38:T40)</f>
        <v>-4.9619833333283339</v>
      </c>
      <c r="U66" s="6">
        <f>SUM(U33:U34,U36,U38:U40)</f>
        <v>544.58245700000009</v>
      </c>
      <c r="V66" s="6">
        <f>+U66-T66</f>
        <v>549.54444033332845</v>
      </c>
      <c r="AC66" s="236"/>
      <c r="AE66" s="236"/>
    </row>
    <row r="67" spans="20:31" x14ac:dyDescent="0.3">
      <c r="AC67" s="236"/>
      <c r="AE67" s="236"/>
    </row>
    <row r="68" spans="20:31" x14ac:dyDescent="0.3">
      <c r="T68" s="492">
        <f>+T43-T28</f>
        <v>1824.9328136013269</v>
      </c>
      <c r="U68" s="492">
        <f>+U43-U28</f>
        <v>-400.50113899328875</v>
      </c>
      <c r="V68" s="492"/>
      <c r="AC68" s="236"/>
      <c r="AE68" s="236"/>
    </row>
    <row r="69" spans="20:31" x14ac:dyDescent="0.3">
      <c r="T69" s="492">
        <f>+T68/100</f>
        <v>18.249328136013268</v>
      </c>
      <c r="U69" s="492">
        <f>+U68/100</f>
        <v>-4.0050113899328874</v>
      </c>
      <c r="V69" s="492">
        <f>+U69-T69</f>
        <v>-22.254339525946158</v>
      </c>
      <c r="AC69" s="236"/>
      <c r="AE69" s="236"/>
    </row>
    <row r="70" spans="20:31" x14ac:dyDescent="0.3">
      <c r="AC70" s="236"/>
      <c r="AE70" s="236"/>
    </row>
    <row r="71" spans="20:31" x14ac:dyDescent="0.3">
      <c r="AC71" s="236"/>
      <c r="AE71" s="236"/>
    </row>
    <row r="72" spans="20:31" x14ac:dyDescent="0.3">
      <c r="AC72" s="236"/>
      <c r="AE72" s="236"/>
    </row>
    <row r="73" spans="20:31" x14ac:dyDescent="0.3">
      <c r="AC73" s="236"/>
      <c r="AE73" s="236"/>
    </row>
    <row r="74" spans="20:31" x14ac:dyDescent="0.3">
      <c r="AC74" s="236"/>
      <c r="AE74" s="236"/>
    </row>
    <row r="75" spans="20:31" x14ac:dyDescent="0.3">
      <c r="AC75" s="236"/>
      <c r="AE75" s="236"/>
    </row>
    <row r="76" spans="20:31" x14ac:dyDescent="0.3">
      <c r="AC76" s="236"/>
      <c r="AE76" s="236"/>
    </row>
    <row r="77" spans="20:31" x14ac:dyDescent="0.3">
      <c r="AC77" s="236"/>
      <c r="AE77" s="236"/>
    </row>
    <row r="78" spans="20:31" x14ac:dyDescent="0.3">
      <c r="AC78" s="236"/>
    </row>
  </sheetData>
  <mergeCells count="4">
    <mergeCell ref="H5:I6"/>
    <mergeCell ref="I46:I47"/>
    <mergeCell ref="H28:I28"/>
    <mergeCell ref="Y43:AG43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82D9E-47F7-4148-8969-B6697DB06FB7}">
  <sheetPr>
    <tabColor theme="1" tint="0.34998626667073579"/>
    <pageSetUpPr fitToPage="1"/>
  </sheetPr>
  <dimension ref="A1:AL78"/>
  <sheetViews>
    <sheetView showGridLines="0" showZeros="0" view="pageBreakPreview" topLeftCell="E17" zoomScale="85" zoomScaleNormal="85" zoomScaleSheetLayoutView="85" workbookViewId="0">
      <selection activeCell="K41" sqref="K41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1:36" ht="18" customHeight="1" x14ac:dyDescent="0.3">
      <c r="H1" s="4"/>
      <c r="K1" s="6"/>
      <c r="L1" s="6"/>
      <c r="P1" s="6"/>
      <c r="Q1" s="6"/>
    </row>
    <row r="2" spans="1:36" ht="18" customHeight="1" x14ac:dyDescent="0.3">
      <c r="H2" s="7"/>
      <c r="AD2" s="5"/>
      <c r="AG2" s="5"/>
    </row>
    <row r="3" spans="1:36" ht="26.25" x14ac:dyDescent="0.3">
      <c r="H3" s="4" t="s">
        <v>215</v>
      </c>
      <c r="AD3" s="5"/>
      <c r="AG3" s="5"/>
    </row>
    <row r="4" spans="1:36" ht="18" customHeight="1" x14ac:dyDescent="0.3">
      <c r="H4" s="7"/>
      <c r="AD4" s="5"/>
      <c r="AG4" s="5" t="s">
        <v>77</v>
      </c>
    </row>
    <row r="5" spans="1:36" s="8" customFormat="1" ht="19.5" customHeight="1" x14ac:dyDescent="0.3">
      <c r="G5" s="334"/>
      <c r="H5" s="602" t="s">
        <v>11</v>
      </c>
      <c r="I5" s="603"/>
      <c r="J5" s="158" t="s">
        <v>0</v>
      </c>
      <c r="K5" s="159"/>
      <c r="L5" s="159"/>
      <c r="M5" s="159"/>
      <c r="N5" s="160"/>
      <c r="O5" s="158" t="s">
        <v>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6" s="8" customFormat="1" ht="19.5" customHeight="1" x14ac:dyDescent="0.3">
      <c r="A6" s="8" t="s">
        <v>213</v>
      </c>
      <c r="G6" s="334"/>
      <c r="H6" s="604"/>
      <c r="I6" s="601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6" s="8" customFormat="1" ht="22.5" customHeight="1" x14ac:dyDescent="0.3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+IFERROR(HLOOKUP($B7,'[1]10월누계'!$D$6:$BN$259,2,),)/1000</f>
        <v>378</v>
      </c>
      <c r="K7" s="36">
        <f>+IFERROR(HLOOKUP($B7,'[2]10월누계'!$F$6:$CP$99,2,),)/1000</f>
        <v>322.44400000000002</v>
      </c>
      <c r="L7" s="37">
        <f t="shared" ref="L7:L32" si="0">+K7-J7</f>
        <v>-55.555999999999983</v>
      </c>
      <c r="M7" s="38">
        <f>+IFERROR(HLOOKUP($B7,'[3]10월누계'!$F$6:$CC$57,2,),)/1000</f>
        <v>373.67099999999999</v>
      </c>
      <c r="N7" s="39">
        <f>+K7-M7</f>
        <v>-51.226999999999975</v>
      </c>
      <c r="O7" s="35">
        <f>+IFERROR(HLOOKUP($B7,'[1]10월누계'!$D$6:$BN$259,3,),)/1000</f>
        <v>37495.540346000002</v>
      </c>
      <c r="P7" s="36">
        <f>+IFERROR(HLOOKUP($B7,'[2]10월누계'!$F$6:$CP$99,3,),)/1000</f>
        <v>31085.544923000001</v>
      </c>
      <c r="Q7" s="37">
        <f>+P7-O7</f>
        <v>-6409.9954230000003</v>
      </c>
      <c r="R7" s="38">
        <f>+IFERROR(HLOOKUP($B7,'[3]10월누계'!$F$6:$CC$57,3,),)/1000</f>
        <v>37039.865332000001</v>
      </c>
      <c r="S7" s="39">
        <f>+P7-R7</f>
        <v>-5954.3204089999999</v>
      </c>
      <c r="T7" s="35">
        <f>+IFERROR(HLOOKUP($B7,'[1]10월누계'!$D$6:$BN$259,16,),)/1000</f>
        <v>3527.040101567432</v>
      </c>
      <c r="U7" s="36">
        <f>+IFERROR(HLOOKUP($B7,'[2]10월누계'!$F$6:$CP$99,16,),)/1000</f>
        <v>2176.8926209999977</v>
      </c>
      <c r="V7" s="40">
        <f>+U7-T7</f>
        <v>-1350.1474805674343</v>
      </c>
      <c r="W7" s="41">
        <f>+IFERROR(HLOOKUP($B7,'[3]10월누계'!$F$6:$CC$57,16,),)/1000</f>
        <v>3495.1511919999998</v>
      </c>
      <c r="X7" s="39">
        <f>+U7-W7</f>
        <v>-1318.2585710000021</v>
      </c>
      <c r="Y7" s="35">
        <f>+[12]안양!$Q$85</f>
        <v>99194.551179894173</v>
      </c>
      <c r="Z7" s="36">
        <f>+[12]안양!$R$85</f>
        <v>96395.902615291605</v>
      </c>
      <c r="AA7" s="42">
        <f>+[13]안양!$Q$85</f>
        <v>99119.962067949979</v>
      </c>
      <c r="AB7" s="43">
        <f>+[12]안양!$Q$89</f>
        <v>81666.959102101129</v>
      </c>
      <c r="AC7" s="36">
        <f>+[12]안양!$R$89</f>
        <v>79845.274899715965</v>
      </c>
      <c r="AD7" s="44">
        <f>+[13]안양!$Q$89</f>
        <v>81575.39945770007</v>
      </c>
      <c r="AE7" s="43">
        <f>+Y7-AB7</f>
        <v>17527.592077793044</v>
      </c>
      <c r="AF7" s="36">
        <f>+Z7-AC7</f>
        <v>16550.62771557564</v>
      </c>
      <c r="AG7" s="44">
        <f>+AA7-AD7</f>
        <v>17544.562610249908</v>
      </c>
      <c r="AH7" s="17"/>
      <c r="AI7" s="493"/>
      <c r="AJ7" s="494"/>
    </row>
    <row r="8" spans="1:36" s="8" customFormat="1" ht="22.5" customHeight="1" x14ac:dyDescent="0.3">
      <c r="B8" s="8" t="s">
        <v>19</v>
      </c>
      <c r="G8" s="336" t="str">
        <f t="shared" ref="G8:G26" si="1">+I8</f>
        <v>인천</v>
      </c>
      <c r="H8" s="74" t="s">
        <v>41</v>
      </c>
      <c r="I8" s="75" t="s">
        <v>19</v>
      </c>
      <c r="J8" s="45">
        <f>+IFERROR(HLOOKUP($B8,'[1]10월누계'!$D$6:$BN$259,2,),)/1000</f>
        <v>276</v>
      </c>
      <c r="K8" s="46">
        <f>+IFERROR(HLOOKUP($B8,'[2]10월누계'!$F$6:$CP$99,2,),)/1000</f>
        <v>272.09100000000001</v>
      </c>
      <c r="L8" s="47">
        <f t="shared" si="0"/>
        <v>-3.9089999999999918</v>
      </c>
      <c r="M8" s="48">
        <f>+IFERROR(HLOOKUP($B8,'[3]10월누계'!$F$6:$CC$57,2,),)/1000</f>
        <v>267.07499999999999</v>
      </c>
      <c r="N8" s="49">
        <f t="shared" ref="N8:N32" si="2">+K8-M8</f>
        <v>5.0160000000000196</v>
      </c>
      <c r="O8" s="45">
        <f>+IFERROR(HLOOKUP($B8,'[1]10월누계'!$D$6:$BN$259,3,),)/1000</f>
        <v>27389.03286690843</v>
      </c>
      <c r="P8" s="46">
        <f>+IFERROR(HLOOKUP($B8,'[2]10월누계'!$F$6:$CP$99,3,),)/1000</f>
        <v>26344.087277000002</v>
      </c>
      <c r="Q8" s="47">
        <f t="shared" ref="Q8:Q43" si="3">+P8-O8</f>
        <v>-1044.9455899084278</v>
      </c>
      <c r="R8" s="48">
        <f>+IFERROR(HLOOKUP($B8,'[3]10월누계'!$F$6:$CC$57,3,),)/1000</f>
        <v>26610.639729999995</v>
      </c>
      <c r="S8" s="49">
        <f t="shared" ref="S8:S38" si="4">+P8-R8</f>
        <v>-266.55245299999297</v>
      </c>
      <c r="T8" s="45">
        <f>+IFERROR(HLOOKUP($B8,'[1]10월누계'!$D$6:$BN$259,16,),)/1000</f>
        <v>1485.5092152212428</v>
      </c>
      <c r="U8" s="46">
        <f>+IFERROR(HLOOKUP($B8,'[2]10월누계'!$F$6:$CP$99,16,),)/1000</f>
        <v>144.14425902000261</v>
      </c>
      <c r="V8" s="47">
        <f t="shared" ref="V8:V39" si="5">+U8-T8</f>
        <v>-1341.3649562012401</v>
      </c>
      <c r="W8" s="48">
        <f>+IFERROR(HLOOKUP($B8,'[3]10월누계'!$F$6:$CC$57,16,),)/1000</f>
        <v>1662.3616650099978</v>
      </c>
      <c r="X8" s="49">
        <f t="shared" ref="X8:X37" si="6">+U8-W8</f>
        <v>-1518.2174059899951</v>
      </c>
      <c r="Y8" s="45">
        <f>+[12]인천!$Q$85</f>
        <v>99235.62632937837</v>
      </c>
      <c r="Z8" s="46">
        <f>+[12]인천!$R$85</f>
        <v>96874.047413330773</v>
      </c>
      <c r="AA8" s="50">
        <f>+[13]인천!$Q$85</f>
        <v>99641.374010630694</v>
      </c>
      <c r="AB8" s="51">
        <f>+[12]인천!$Q$89</f>
        <v>82832.695809646335</v>
      </c>
      <c r="AC8" s="46">
        <f>+[12]인천!$R$89</f>
        <v>84453.745797674725</v>
      </c>
      <c r="AD8" s="52">
        <f>+[13]인천!$Q$89</f>
        <v>82366.896822904993</v>
      </c>
      <c r="AE8" s="51">
        <f t="shared" ref="AE8:AG27" si="7">+Y8-AB8</f>
        <v>16402.930519732035</v>
      </c>
      <c r="AF8" s="46">
        <f t="shared" si="7"/>
        <v>12420.301615656048</v>
      </c>
      <c r="AG8" s="52">
        <f t="shared" si="7"/>
        <v>17274.477187725701</v>
      </c>
      <c r="AH8" s="17"/>
      <c r="AI8" s="493"/>
      <c r="AJ8" s="494"/>
    </row>
    <row r="9" spans="1:36" s="8" customFormat="1" ht="22.5" customHeight="1" x14ac:dyDescent="0.3">
      <c r="B9" s="8" t="s">
        <v>20</v>
      </c>
      <c r="G9" s="336" t="str">
        <f t="shared" si="1"/>
        <v>파주</v>
      </c>
      <c r="H9" s="74"/>
      <c r="I9" s="75" t="s">
        <v>20</v>
      </c>
      <c r="J9" s="45">
        <f>+IFERROR(HLOOKUP($B9,'[1]10월누계'!$D$6:$BN$259,2,),)/1000</f>
        <v>206</v>
      </c>
      <c r="K9" s="46">
        <f>+IFERROR(HLOOKUP($B9,'[2]10월누계'!$F$6:$CP$99,2,),)/1000</f>
        <v>126.85599999999999</v>
      </c>
      <c r="L9" s="47">
        <f t="shared" si="0"/>
        <v>-79.144000000000005</v>
      </c>
      <c r="M9" s="48">
        <f>+IFERROR(HLOOKUP($B9,'[3]10월누계'!$F$6:$CC$57,2,),)/1000</f>
        <v>243.7</v>
      </c>
      <c r="N9" s="49">
        <f t="shared" si="2"/>
        <v>-116.84399999999999</v>
      </c>
      <c r="O9" s="45">
        <f>+IFERROR(HLOOKUP($B9,'[1]10월누계'!$D$6:$BN$259,3,),)/1000</f>
        <v>19889.699183200002</v>
      </c>
      <c r="P9" s="46">
        <f>+IFERROR(HLOOKUP($B9,'[2]10월누계'!$F$6:$CP$99,3,),)/1000</f>
        <v>11751.660443000001</v>
      </c>
      <c r="Q9" s="47">
        <f t="shared" si="3"/>
        <v>-8138.0387402000015</v>
      </c>
      <c r="R9" s="48">
        <f>+IFERROR(HLOOKUP($B9,'[3]10월누계'!$F$6:$CC$57,3,),)/1000</f>
        <v>23555.595879</v>
      </c>
      <c r="S9" s="49">
        <f t="shared" si="4"/>
        <v>-11803.935436</v>
      </c>
      <c r="T9" s="45">
        <f>+IFERROR(HLOOKUP($B9,'[1]10월누계'!$D$6:$BN$259,16,),)/1000</f>
        <v>1015.1016651480494</v>
      </c>
      <c r="U9" s="46">
        <f>+IFERROR(HLOOKUP($B9,'[2]10월누계'!$F$6:$CP$99,16,),)/1000</f>
        <v>-405.52211200000039</v>
      </c>
      <c r="V9" s="47">
        <f t="shared" si="5"/>
        <v>-1420.6237771480498</v>
      </c>
      <c r="W9" s="48">
        <f>+IFERROR(HLOOKUP($B9,'[3]10월누계'!$F$6:$CC$57,16,),)/1000</f>
        <v>1693.9686640000009</v>
      </c>
      <c r="X9" s="49">
        <f t="shared" si="6"/>
        <v>-2099.4907760000015</v>
      </c>
      <c r="Y9" s="45">
        <f>+[12]파주!$Q$85</f>
        <v>96551.93778252427</v>
      </c>
      <c r="Z9" s="46">
        <f>+[12]파주!$R$85</f>
        <v>92679.473354156653</v>
      </c>
      <c r="AA9" s="50">
        <f>+[13]파주!$Q$85</f>
        <v>96666.953368455972</v>
      </c>
      <c r="AB9" s="51">
        <f>+[12]파주!$Q$89</f>
        <v>80218.087621696439</v>
      </c>
      <c r="AC9" s="46">
        <f>+[12]파주!$R$89</f>
        <v>78513.761995131485</v>
      </c>
      <c r="AD9" s="52">
        <f>+[13]파주!$Q$89</f>
        <v>80272.138118544943</v>
      </c>
      <c r="AE9" s="51">
        <f t="shared" si="7"/>
        <v>16333.850160827831</v>
      </c>
      <c r="AF9" s="46">
        <f t="shared" si="7"/>
        <v>14165.711359025168</v>
      </c>
      <c r="AG9" s="52">
        <f t="shared" si="7"/>
        <v>16394.815249911029</v>
      </c>
      <c r="AH9" s="17"/>
      <c r="AI9" s="493"/>
      <c r="AJ9" s="494"/>
    </row>
    <row r="10" spans="1:36" s="8" customFormat="1" ht="22.5" customHeight="1" x14ac:dyDescent="0.3">
      <c r="B10" s="8" t="s">
        <v>110</v>
      </c>
      <c r="G10" s="336" t="str">
        <f t="shared" si="1"/>
        <v>김포</v>
      </c>
      <c r="H10" s="74"/>
      <c r="I10" s="75" t="s">
        <v>108</v>
      </c>
      <c r="J10" s="45">
        <f>+IFERROR(HLOOKUP($B10,'[1]10월누계'!$D$6:$BN$259,2,),)/1000</f>
        <v>139</v>
      </c>
      <c r="K10" s="46">
        <f>+IFERROR(HLOOKUP($B10,'[2]10월누계'!$F$6:$CP$99,2,),)/1000</f>
        <v>99.336820000000003</v>
      </c>
      <c r="L10" s="47">
        <f t="shared" si="0"/>
        <v>-39.663179999999997</v>
      </c>
      <c r="M10" s="48">
        <f>+IFERROR(HLOOKUP($B10,'[3]10월누계'!$F$6:$CC$57,2,),)/1000</f>
        <v>114.72150000000001</v>
      </c>
      <c r="N10" s="49">
        <f t="shared" si="2"/>
        <v>-15.384680000000003</v>
      </c>
      <c r="O10" s="45">
        <f>+IFERROR(HLOOKUP($B10,'[1]10월누계'!$D$6:$BN$259,3,),)/1000</f>
        <v>13191.318670000002</v>
      </c>
      <c r="P10" s="46">
        <f>+IFERROR(HLOOKUP($B10,'[2]10월누계'!$F$6:$CP$99,3,),)/1000</f>
        <v>9490.0219940000006</v>
      </c>
      <c r="Q10" s="47">
        <f t="shared" si="3"/>
        <v>-3701.2966760000018</v>
      </c>
      <c r="R10" s="48">
        <f>+IFERROR(HLOOKUP($B10,'[3]10월누계'!$F$6:$CC$57,3,),)/1000</f>
        <v>11196.539796000003</v>
      </c>
      <c r="S10" s="49">
        <f t="shared" si="4"/>
        <v>-1706.5178020000021</v>
      </c>
      <c r="T10" s="45">
        <f>+IFERROR(HLOOKUP($B10,'[1]10월누계'!$D$6:$BN$259,16,),)/1000</f>
        <v>855.98466195048093</v>
      </c>
      <c r="U10" s="46">
        <f>+IFERROR(HLOOKUP($B10,'[2]10월누계'!$F$6:$CP$99,16,),)/1000</f>
        <v>-44.558192999998866</v>
      </c>
      <c r="V10" s="47">
        <f t="shared" si="5"/>
        <v>-900.54285495047975</v>
      </c>
      <c r="W10" s="48">
        <f>+IFERROR(HLOOKUP($B10,'[3]10월누계'!$F$6:$CC$57,16,),)/1000</f>
        <v>935.79926200000034</v>
      </c>
      <c r="X10" s="49">
        <f t="shared" si="6"/>
        <v>-980.35745499999916</v>
      </c>
      <c r="Y10" s="45">
        <f>+[12]김포!$Q$85</f>
        <v>94901.573165467635</v>
      </c>
      <c r="Z10" s="46">
        <f>+[12]김포!$R$85</f>
        <v>95610.678374303738</v>
      </c>
      <c r="AA10" s="50">
        <f>+[13]김포!$Q$85</f>
        <v>97610.856292393801</v>
      </c>
      <c r="AB10" s="51">
        <f>+[12]김포!$Q$89</f>
        <v>76172.298131451404</v>
      </c>
      <c r="AC10" s="46">
        <f>+[12]김포!$R$89</f>
        <v>78308.79262496352</v>
      </c>
      <c r="AD10" s="52">
        <f>+[13]김포!$Q$89</f>
        <v>75418.587197998728</v>
      </c>
      <c r="AE10" s="51">
        <f t="shared" si="7"/>
        <v>18729.275034016231</v>
      </c>
      <c r="AF10" s="46">
        <f t="shared" si="7"/>
        <v>17301.885749340217</v>
      </c>
      <c r="AG10" s="52">
        <f t="shared" si="7"/>
        <v>22192.269094395073</v>
      </c>
      <c r="AH10" s="17"/>
      <c r="AI10" s="493"/>
      <c r="AJ10" s="494"/>
    </row>
    <row r="11" spans="1:36" s="8" customFormat="1" ht="22.5" customHeight="1" x14ac:dyDescent="0.3">
      <c r="B11" s="8" t="s">
        <v>21</v>
      </c>
      <c r="G11" s="334" t="str">
        <f t="shared" si="1"/>
        <v>부산</v>
      </c>
      <c r="H11" s="74"/>
      <c r="I11" s="76" t="s">
        <v>21</v>
      </c>
      <c r="J11" s="62">
        <f>+IFERROR(HLOOKUP($B11,'[1]10월누계'!$D$6:$BN$259,2,),)/1000</f>
        <v>197</v>
      </c>
      <c r="K11" s="63">
        <f>+IFERROR(HLOOKUP($B11,'[2]10월누계'!$F$6:$CP$99,2,),)/1000</f>
        <v>195.29900000000001</v>
      </c>
      <c r="L11" s="64">
        <f t="shared" si="0"/>
        <v>-1.7009999999999934</v>
      </c>
      <c r="M11" s="65">
        <f>+IFERROR(HLOOKUP($B11,'[3]10월누계'!$F$6:$CC$57,2,),)/1000</f>
        <v>197.24250000000001</v>
      </c>
      <c r="N11" s="66">
        <f t="shared" si="2"/>
        <v>-1.9435000000000002</v>
      </c>
      <c r="O11" s="62">
        <f>+IFERROR(HLOOKUP($B11,'[1]10월누계'!$D$6:$BN$259,3,),)/1000</f>
        <v>21216.895507196001</v>
      </c>
      <c r="P11" s="63">
        <f>+IFERROR(HLOOKUP($B11,'[2]10월누계'!$F$6:$CP$99,3,),)/1000</f>
        <v>21027.944947</v>
      </c>
      <c r="Q11" s="64">
        <f t="shared" si="3"/>
        <v>-188.95056019600088</v>
      </c>
      <c r="R11" s="65">
        <f>+IFERROR(HLOOKUP($B11,'[3]10월누계'!$F$6:$CC$57,3,),)/1000</f>
        <v>21243.855801000002</v>
      </c>
      <c r="S11" s="66">
        <f t="shared" si="4"/>
        <v>-215.91085400000156</v>
      </c>
      <c r="T11" s="62">
        <f>+IFERROR(HLOOKUP($B11,'[1]10월누계'!$D$6:$BN$259,16,),)/1000</f>
        <v>1796.6635146320675</v>
      </c>
      <c r="U11" s="63">
        <f>+IFERROR(HLOOKUP($B11,'[2]10월누계'!$F$6:$CP$99,16,),)/1000</f>
        <v>1889.3756590000025</v>
      </c>
      <c r="V11" s="64">
        <f t="shared" si="5"/>
        <v>92.712144367935025</v>
      </c>
      <c r="W11" s="65">
        <f>+IFERROR(HLOOKUP($B11,'[3]10월누계'!$F$6:$CC$57,16,),)/1000</f>
        <v>2050.9055080000007</v>
      </c>
      <c r="X11" s="66">
        <f t="shared" si="6"/>
        <v>-161.52984899999819</v>
      </c>
      <c r="Y11" s="62">
        <f>+[12]부산!$Q$85</f>
        <v>107699.97719388834</v>
      </c>
      <c r="Z11" s="63">
        <f>+[12]부산!$R$85</f>
        <v>107670.52031500418</v>
      </c>
      <c r="AA11" s="67">
        <f>+[13]부산!$Q$85</f>
        <v>107704.25137077457</v>
      </c>
      <c r="AB11" s="68">
        <f>+[12]부산!$Q$89</f>
        <v>84834.021757247232</v>
      </c>
      <c r="AC11" s="63">
        <f>+[12]부산!$R$89</f>
        <v>84894.169606547526</v>
      </c>
      <c r="AD11" s="69">
        <f>+[13]부산!$Q$89</f>
        <v>83958.150600023713</v>
      </c>
      <c r="AE11" s="68">
        <f t="shared" si="7"/>
        <v>22865.955436641103</v>
      </c>
      <c r="AF11" s="63">
        <f t="shared" si="7"/>
        <v>22776.350708456652</v>
      </c>
      <c r="AG11" s="69">
        <f t="shared" si="7"/>
        <v>23746.100770750854</v>
      </c>
      <c r="AH11" s="17"/>
      <c r="AI11" s="493"/>
      <c r="AJ11" s="494"/>
    </row>
    <row r="12" spans="1:36" s="8" customFormat="1" ht="22.5" customHeight="1" x14ac:dyDescent="0.3">
      <c r="B12" s="8" t="s">
        <v>22</v>
      </c>
      <c r="G12" s="334" t="str">
        <f t="shared" si="1"/>
        <v>서부산</v>
      </c>
      <c r="H12" s="74"/>
      <c r="I12" s="75" t="s">
        <v>22</v>
      </c>
      <c r="J12" s="45">
        <f>+IFERROR(HLOOKUP($B12,'[1]10월누계'!$D$6:$BN$259,2,),)/1000</f>
        <v>194</v>
      </c>
      <c r="K12" s="46">
        <f>+IFERROR(HLOOKUP($B12,'[2]10월누계'!$F$6:$CP$99,2,),)/1000</f>
        <v>171.01300000000001</v>
      </c>
      <c r="L12" s="47">
        <f t="shared" si="0"/>
        <v>-22.986999999999995</v>
      </c>
      <c r="M12" s="48">
        <f>+IFERROR(HLOOKUP($B12,'[3]10월누계'!$F$6:$CC$57,2,),)/1000</f>
        <v>207.172</v>
      </c>
      <c r="N12" s="49">
        <f t="shared" si="2"/>
        <v>-36.158999999999992</v>
      </c>
      <c r="O12" s="45">
        <f>+IFERROR(HLOOKUP($B12,'[1]10월누계'!$D$6:$BN$259,3,),)/1000</f>
        <v>19264.206073580019</v>
      </c>
      <c r="P12" s="46">
        <f>+IFERROR(HLOOKUP($B12,'[2]10월누계'!$F$6:$CP$99,3,),)/1000</f>
        <v>16761.080318</v>
      </c>
      <c r="Q12" s="47">
        <f t="shared" si="3"/>
        <v>-2503.1257555800184</v>
      </c>
      <c r="R12" s="48">
        <f>+IFERROR(HLOOKUP($B12,'[3]10월누계'!$F$6:$CC$57,3,),)/1000</f>
        <v>20831.233747999999</v>
      </c>
      <c r="S12" s="49">
        <f t="shared" si="4"/>
        <v>-4070.1534299999985</v>
      </c>
      <c r="T12" s="45">
        <f>+IFERROR(HLOOKUP($B12,'[1]10월누계'!$D$6:$BN$259,16,),)/1000</f>
        <v>1812.3444437957937</v>
      </c>
      <c r="U12" s="46">
        <f>+IFERROR(HLOOKUP($B12,'[2]10월누계'!$F$6:$CP$99,16,),)/1000</f>
        <v>1190.6673209999999</v>
      </c>
      <c r="V12" s="47">
        <f t="shared" si="5"/>
        <v>-621.67712279579382</v>
      </c>
      <c r="W12" s="48">
        <f>+IFERROR(HLOOKUP($B12,'[3]10월누계'!$F$6:$CC$57,16,),)/1000</f>
        <v>2290.6040859999994</v>
      </c>
      <c r="X12" s="49">
        <f t="shared" si="6"/>
        <v>-1099.9367649999995</v>
      </c>
      <c r="Y12" s="45">
        <f>+[12]서부산!$Q$85</f>
        <v>99300.031307113502</v>
      </c>
      <c r="Z12" s="46">
        <f>+[12]서부산!$R$85</f>
        <v>98049.927583635261</v>
      </c>
      <c r="AA12" s="50">
        <f>+[13]서부산!$Q$85</f>
        <v>100551.51680250299</v>
      </c>
      <c r="AB12" s="51">
        <f>+[12]서부산!$Q$89</f>
        <v>78142.39200633335</v>
      </c>
      <c r="AC12" s="46">
        <f>+[12]서부산!$R$89</f>
        <v>77714.603401312517</v>
      </c>
      <c r="AD12" s="52">
        <f>+[13]서부산!$Q$89</f>
        <v>78733.007216251877</v>
      </c>
      <c r="AE12" s="51">
        <f t="shared" si="7"/>
        <v>21157.639300780153</v>
      </c>
      <c r="AF12" s="46">
        <f t="shared" si="7"/>
        <v>20335.324182322744</v>
      </c>
      <c r="AG12" s="52">
        <f t="shared" si="7"/>
        <v>21818.509586251108</v>
      </c>
      <c r="AH12" s="17"/>
      <c r="AI12" s="493"/>
      <c r="AJ12" s="494"/>
    </row>
    <row r="13" spans="1:36" s="8" customFormat="1" ht="22.5" customHeight="1" x14ac:dyDescent="0.3">
      <c r="B13" s="8" t="s">
        <v>23</v>
      </c>
      <c r="G13" s="334" t="str">
        <f t="shared" si="1"/>
        <v>김해</v>
      </c>
      <c r="H13" s="74"/>
      <c r="I13" s="75" t="s">
        <v>23</v>
      </c>
      <c r="J13" s="45">
        <f>+IFERROR(HLOOKUP($B13,'[1]10월누계'!$D$6:$BN$259,2,),)/1000</f>
        <v>138</v>
      </c>
      <c r="K13" s="46">
        <f>+IFERROR(HLOOKUP($B13,'[2]10월누계'!$F$6:$CP$99,2,),)/1000</f>
        <v>83.813000000000002</v>
      </c>
      <c r="L13" s="47">
        <f t="shared" si="0"/>
        <v>-54.186999999999998</v>
      </c>
      <c r="M13" s="48">
        <f>+IFERROR(HLOOKUP($B13,'[3]10월누계'!$F$6:$CC$57,2,),)/1000</f>
        <v>134.28299999999999</v>
      </c>
      <c r="N13" s="49">
        <f t="shared" si="2"/>
        <v>-50.469999999999985</v>
      </c>
      <c r="O13" s="45">
        <f>+IFERROR(HLOOKUP($B13,'[1]10월누계'!$D$6:$BN$259,3,),)/1000</f>
        <v>13289.382549999998</v>
      </c>
      <c r="P13" s="46">
        <f>+IFERROR(HLOOKUP($B13,'[2]10월누계'!$F$6:$CP$99,3,),)/1000</f>
        <v>7561.8723000000009</v>
      </c>
      <c r="Q13" s="47">
        <f t="shared" si="3"/>
        <v>-5727.5102499999975</v>
      </c>
      <c r="R13" s="48">
        <f>+IFERROR(HLOOKUP($B13,'[3]10월누계'!$F$6:$CC$57,3,),)/1000</f>
        <v>12777.261899999998</v>
      </c>
      <c r="S13" s="49">
        <f t="shared" si="4"/>
        <v>-5215.3895999999968</v>
      </c>
      <c r="T13" s="45">
        <f>+IFERROR(HLOOKUP($B13,'[1]10월누계'!$D$6:$BN$259,16,),)/1000</f>
        <v>1156.3373391480018</v>
      </c>
      <c r="U13" s="46">
        <f>+IFERROR(HLOOKUP($B13,'[2]10월누계'!$F$6:$CP$99,16,),)/1000</f>
        <v>-347.12307899999951</v>
      </c>
      <c r="V13" s="47">
        <f t="shared" si="5"/>
        <v>-1503.4604181480013</v>
      </c>
      <c r="W13" s="48">
        <f>+IFERROR(HLOOKUP($B13,'[3]10월누계'!$F$6:$CC$57,16,),)/1000</f>
        <v>720.05565799999908</v>
      </c>
      <c r="X13" s="49">
        <f t="shared" si="6"/>
        <v>-1067.1787369999986</v>
      </c>
      <c r="Y13" s="45">
        <f>+[12]김해!$Q$85</f>
        <v>96299.873550724631</v>
      </c>
      <c r="Z13" s="46">
        <f>+[12]김해!$R$85</f>
        <v>90198.17886218318</v>
      </c>
      <c r="AA13" s="50">
        <f>+[13]김해!$Q$85</f>
        <v>95232.380110062877</v>
      </c>
      <c r="AB13" s="51">
        <f>+[12]김해!$Q$89</f>
        <v>76758.586514225419</v>
      </c>
      <c r="AC13" s="46">
        <f>+[12]김해!$R$89</f>
        <v>76947.92636585336</v>
      </c>
      <c r="AD13" s="52">
        <f>+[13]김해!$Q$89</f>
        <v>78745.257671957661</v>
      </c>
      <c r="AE13" s="51">
        <f t="shared" si="7"/>
        <v>19541.287036499212</v>
      </c>
      <c r="AF13" s="46">
        <f t="shared" si="7"/>
        <v>13250.25249632982</v>
      </c>
      <c r="AG13" s="52">
        <f t="shared" si="7"/>
        <v>16487.122438105216</v>
      </c>
      <c r="AH13" s="17"/>
      <c r="AI13" s="493"/>
      <c r="AJ13" s="494"/>
    </row>
    <row r="14" spans="1:36" s="8" customFormat="1" ht="22.5" customHeight="1" x14ac:dyDescent="0.3">
      <c r="B14" s="8" t="s">
        <v>24</v>
      </c>
      <c r="G14" s="334" t="str">
        <f t="shared" si="1"/>
        <v>정관</v>
      </c>
      <c r="H14" s="74"/>
      <c r="I14" s="75" t="s">
        <v>24</v>
      </c>
      <c r="J14" s="45">
        <f>+IFERROR(HLOOKUP($B14,'[1]10월누계'!$D$6:$BN$259,2,),)/1000</f>
        <v>188</v>
      </c>
      <c r="K14" s="46">
        <f>+IFERROR(HLOOKUP($B14,'[2]10월누계'!$F$6:$CP$99,2,),)/1000</f>
        <v>213.39850000000001</v>
      </c>
      <c r="L14" s="47">
        <f t="shared" si="0"/>
        <v>25.398500000000013</v>
      </c>
      <c r="M14" s="48">
        <f>+IFERROR(HLOOKUP($B14,'[3]10월누계'!$F$6:$CC$57,2,),)/1000</f>
        <v>197.18950000000001</v>
      </c>
      <c r="N14" s="49">
        <f t="shared" si="2"/>
        <v>16.209000000000003</v>
      </c>
      <c r="O14" s="45">
        <f>+IFERROR(HLOOKUP($B14,'[1]10월누계'!$D$6:$BN$259,3,),)/1000</f>
        <v>19175.989316800002</v>
      </c>
      <c r="P14" s="46">
        <f>+IFERROR(HLOOKUP($B14,'[2]10월누계'!$F$6:$CP$99,3,),)/1000</f>
        <v>21253.13495</v>
      </c>
      <c r="Q14" s="47">
        <f t="shared" si="3"/>
        <v>2077.145633199998</v>
      </c>
      <c r="R14" s="48">
        <f>+IFERROR(HLOOKUP($B14,'[3]10월누계'!$F$6:$CC$57,3,),)/1000</f>
        <v>19917.169072000001</v>
      </c>
      <c r="S14" s="49">
        <f t="shared" si="4"/>
        <v>1335.9658779999991</v>
      </c>
      <c r="T14" s="45">
        <f>+IFERROR(HLOOKUP($B14,'[1]10월누계'!$D$6:$BN$259,16,),)/1000</f>
        <v>1561.2825495431391</v>
      </c>
      <c r="U14" s="46">
        <f>+IFERROR(HLOOKUP($B14,'[2]10월누계'!$F$6:$CP$99,16,),)/1000</f>
        <v>1707.6805010000019</v>
      </c>
      <c r="V14" s="47">
        <f t="shared" si="5"/>
        <v>146.39795145686276</v>
      </c>
      <c r="W14" s="48">
        <f>+IFERROR(HLOOKUP($B14,'[3]10월누계'!$F$6:$CC$57,16,),)/1000</f>
        <v>1743.0185790000012</v>
      </c>
      <c r="X14" s="49">
        <f t="shared" si="6"/>
        <v>-35.338077999999314</v>
      </c>
      <c r="Y14" s="45">
        <f>+[12]정관!$Q$85</f>
        <v>101999.94317446811</v>
      </c>
      <c r="Z14" s="46">
        <f>+[12]정관!$R$85</f>
        <v>99608.788259465815</v>
      </c>
      <c r="AA14" s="50">
        <f>+[13]정관!$Q$85</f>
        <v>101005.2212313536</v>
      </c>
      <c r="AB14" s="51">
        <f>+[12]정관!$Q$89</f>
        <v>82198.378884936028</v>
      </c>
      <c r="AC14" s="46">
        <f>+[12]정관!$R$89</f>
        <v>81866.523691662325</v>
      </c>
      <c r="AD14" s="52">
        <f>+[13]정관!$Q$89</f>
        <v>81770.401864067055</v>
      </c>
      <c r="AE14" s="51">
        <f t="shared" si="7"/>
        <v>19801.564289532078</v>
      </c>
      <c r="AF14" s="46">
        <f t="shared" si="7"/>
        <v>17742.26456780349</v>
      </c>
      <c r="AG14" s="52">
        <f t="shared" si="7"/>
        <v>19234.819367286545</v>
      </c>
      <c r="AH14" s="17"/>
      <c r="AI14" s="493"/>
      <c r="AJ14" s="494"/>
    </row>
    <row r="15" spans="1:36" s="8" customFormat="1" ht="22.5" customHeight="1" x14ac:dyDescent="0.3">
      <c r="B15" s="8" t="s">
        <v>25</v>
      </c>
      <c r="G15" s="334" t="str">
        <f t="shared" si="1"/>
        <v>양산</v>
      </c>
      <c r="H15" s="74"/>
      <c r="I15" s="75" t="s">
        <v>25</v>
      </c>
      <c r="J15" s="45">
        <f>+IFERROR(HLOOKUP($B15,'[1]10월누계'!$D$6:$BN$259,2,),)/1000</f>
        <v>114</v>
      </c>
      <c r="K15" s="46">
        <f>+IFERROR(HLOOKUP($B15,'[2]10월누계'!$F$6:$CP$99,2,),)/1000</f>
        <v>68.319999999999993</v>
      </c>
      <c r="L15" s="47">
        <f t="shared" si="0"/>
        <v>-45.680000000000007</v>
      </c>
      <c r="M15" s="48">
        <f>+IFERROR(HLOOKUP($B15,'[3]10월누계'!$F$6:$CC$57,2,),)/1000</f>
        <v>126.68899999999999</v>
      </c>
      <c r="N15" s="49">
        <f t="shared" si="2"/>
        <v>-58.369</v>
      </c>
      <c r="O15" s="45">
        <f>+IFERROR(HLOOKUP($B15,'[1]10월누계'!$D$6:$BN$259,3,),)/1000</f>
        <v>10775.3485</v>
      </c>
      <c r="P15" s="46">
        <f>+IFERROR(HLOOKUP($B15,'[2]10월누계'!$F$6:$CP$99,3,),)/1000</f>
        <v>6321.0538470000001</v>
      </c>
      <c r="Q15" s="47">
        <f t="shared" si="3"/>
        <v>-4454.2946529999999</v>
      </c>
      <c r="R15" s="48">
        <f>+IFERROR(HLOOKUP($B15,'[3]10월누계'!$F$6:$CC$57,3,),)/1000</f>
        <v>11748.749417999999</v>
      </c>
      <c r="S15" s="49">
        <f t="shared" si="4"/>
        <v>-5427.6955709999993</v>
      </c>
      <c r="T15" s="45">
        <f>+IFERROR(HLOOKUP($B15,'[1]10월누계'!$D$6:$BN$259,16,),)/1000</f>
        <v>915.4781027142086</v>
      </c>
      <c r="U15" s="46">
        <f>+IFERROR(HLOOKUP($B15,'[2]10월누계'!$F$6:$CP$99,16,),)/1000</f>
        <v>-109.57679299999938</v>
      </c>
      <c r="V15" s="47">
        <f t="shared" si="5"/>
        <v>-1025.054895714208</v>
      </c>
      <c r="W15" s="48">
        <f>+IFERROR(HLOOKUP($B15,'[3]10월누계'!$F$6:$CC$57,16,),)/1000</f>
        <v>1086.1549300000015</v>
      </c>
      <c r="X15" s="49">
        <f t="shared" si="6"/>
        <v>-1195.7317230000008</v>
      </c>
      <c r="Y15" s="45">
        <f>+[12]양산!$Q$85</f>
        <v>94520.600877192977</v>
      </c>
      <c r="Z15" s="46">
        <f>+[12]양산!$R$85</f>
        <v>92504.84990319176</v>
      </c>
      <c r="AA15" s="50">
        <f>+[13]양산!$Q$85</f>
        <v>92736.9338932346</v>
      </c>
      <c r="AB15" s="51">
        <f>+[12]양산!$Q$89</f>
        <v>73776.621024924098</v>
      </c>
      <c r="AC15" s="46">
        <f>+[12]양산!$R$89</f>
        <v>73491.801915573946</v>
      </c>
      <c r="AD15" s="52">
        <f>+[13]양산!$Q$89</f>
        <v>72990.590046963174</v>
      </c>
      <c r="AE15" s="51">
        <f t="shared" si="7"/>
        <v>20743.97985226888</v>
      </c>
      <c r="AF15" s="46">
        <f t="shared" si="7"/>
        <v>19013.047987617814</v>
      </c>
      <c r="AG15" s="52">
        <f t="shared" si="7"/>
        <v>19746.343846271426</v>
      </c>
      <c r="AH15" s="17"/>
      <c r="AI15" s="493"/>
      <c r="AJ15" s="494"/>
    </row>
    <row r="16" spans="1:36" s="8" customFormat="1" ht="22.5" customHeight="1" x14ac:dyDescent="0.3">
      <c r="B16" s="8" t="s">
        <v>26</v>
      </c>
      <c r="G16" s="334" t="str">
        <f t="shared" si="1"/>
        <v>창원</v>
      </c>
      <c r="H16" s="74"/>
      <c r="I16" s="75" t="s">
        <v>26</v>
      </c>
      <c r="J16" s="45">
        <f>+IFERROR(HLOOKUP($B16,'[1]10월누계'!$D$6:$BN$259,2,),)/1000</f>
        <v>122</v>
      </c>
      <c r="K16" s="46">
        <f>+IFERROR(HLOOKUP($B16,'[2]10월누계'!$F$6:$CP$99,2,),)/1000</f>
        <v>91.927000000000007</v>
      </c>
      <c r="L16" s="47">
        <f t="shared" si="0"/>
        <v>-30.072999999999993</v>
      </c>
      <c r="M16" s="48">
        <f>+IFERROR(HLOOKUP($B16,'[3]10월누계'!$F$6:$CC$57,2,),)/1000</f>
        <v>170.64949999999999</v>
      </c>
      <c r="N16" s="49">
        <f t="shared" si="2"/>
        <v>-78.722499999999982</v>
      </c>
      <c r="O16" s="45">
        <f>+IFERROR(HLOOKUP($B16,'[1]10월누계'!$D$6:$BN$259,3,),)/1000</f>
        <v>12277.033692960002</v>
      </c>
      <c r="P16" s="46">
        <f>+IFERROR(HLOOKUP($B16,'[2]10월누계'!$F$6:$CP$99,3,),)/1000</f>
        <v>8761.8403800000015</v>
      </c>
      <c r="Q16" s="47">
        <f t="shared" si="3"/>
        <v>-3515.1933129600002</v>
      </c>
      <c r="R16" s="48">
        <f>+IFERROR(HLOOKUP($B16,'[3]10월누계'!$F$6:$CC$57,3,),)/1000</f>
        <v>17191.816300000002</v>
      </c>
      <c r="S16" s="49">
        <f t="shared" si="4"/>
        <v>-8429.9759200000008</v>
      </c>
      <c r="T16" s="45">
        <f>+IFERROR(HLOOKUP($B16,'[1]10월누계'!$D$6:$BN$259,16,),)/1000</f>
        <v>1103.6292768490316</v>
      </c>
      <c r="U16" s="46">
        <f>+IFERROR(HLOOKUP($B16,'[2]10월누계'!$F$6:$CP$99,16,),)/1000</f>
        <v>236.56987500000145</v>
      </c>
      <c r="V16" s="47">
        <f t="shared" si="5"/>
        <v>-867.05940184903011</v>
      </c>
      <c r="W16" s="48">
        <f>+IFERROR(HLOOKUP($B16,'[3]10월누계'!$F$6:$CC$57,16,),)/1000</f>
        <v>2438.770053000002</v>
      </c>
      <c r="X16" s="49">
        <f t="shared" si="6"/>
        <v>-2202.2001780000005</v>
      </c>
      <c r="Y16" s="45">
        <f>+[12]창원!$Q$85</f>
        <v>100631.4237127869</v>
      </c>
      <c r="Z16" s="46">
        <f>+[12]창원!$R$85</f>
        <v>95313.024247500754</v>
      </c>
      <c r="AA16" s="50">
        <f>+[13]창원!$Q$85</f>
        <v>100743.43200536774</v>
      </c>
      <c r="AB16" s="51">
        <f>+[12]창원!$Q$89</f>
        <v>76028.359533775452</v>
      </c>
      <c r="AC16" s="46">
        <f>+[12]창원!$R$89</f>
        <v>73070.291318202086</v>
      </c>
      <c r="AD16" s="52">
        <f>+[13]창원!$Q$89</f>
        <v>74908.31970491122</v>
      </c>
      <c r="AE16" s="51">
        <f t="shared" si="7"/>
        <v>24603.064179011446</v>
      </c>
      <c r="AF16" s="46">
        <f t="shared" si="7"/>
        <v>22242.732929298669</v>
      </c>
      <c r="AG16" s="52">
        <f t="shared" si="7"/>
        <v>25835.112300456516</v>
      </c>
      <c r="AH16" s="17"/>
      <c r="AI16" s="493"/>
      <c r="AJ16" s="494"/>
    </row>
    <row r="17" spans="2:38" s="8" customFormat="1" ht="22.5" customHeight="1" x14ac:dyDescent="0.3">
      <c r="B17" s="8" t="s">
        <v>70</v>
      </c>
      <c r="G17" s="334" t="str">
        <f t="shared" si="1"/>
        <v>대구</v>
      </c>
      <c r="H17" s="74"/>
      <c r="I17" s="75" t="s">
        <v>70</v>
      </c>
      <c r="J17" s="45">
        <f>+IFERROR(HLOOKUP($B17,'[1]10월누계'!$D$6:$BN$259,2,),)/1000</f>
        <v>121</v>
      </c>
      <c r="K17" s="46">
        <f>+IFERROR(HLOOKUP($B17,'[2]10월누계'!$F$6:$CP$99,2,),)/1000</f>
        <v>98.262</v>
      </c>
      <c r="L17" s="47">
        <f t="shared" si="0"/>
        <v>-22.738</v>
      </c>
      <c r="M17" s="48">
        <f>+IFERROR(HLOOKUP($B17,'[3]10월누계'!$F$6:$CC$57,2,),)/1000</f>
        <v>155.88300000000001</v>
      </c>
      <c r="N17" s="49">
        <f t="shared" si="2"/>
        <v>-57.621000000000009</v>
      </c>
      <c r="O17" s="45">
        <f>+IFERROR(HLOOKUP($B17,'[1]10월누계'!$D$6:$BN$259,3,),)/1000</f>
        <v>11745.128440748311</v>
      </c>
      <c r="P17" s="46">
        <f>+IFERROR(HLOOKUP($B17,'[2]10월누계'!$F$6:$CP$99,3,),)/1000</f>
        <v>8708.1556710000004</v>
      </c>
      <c r="Q17" s="47">
        <f t="shared" si="3"/>
        <v>-3036.9727697483104</v>
      </c>
      <c r="R17" s="48">
        <f>+IFERROR(HLOOKUP($B17,'[3]10월누계'!$F$6:$CC$57,3,),)/1000</f>
        <v>15602.772502</v>
      </c>
      <c r="S17" s="49">
        <f t="shared" si="4"/>
        <v>-6894.6168309999994</v>
      </c>
      <c r="T17" s="45">
        <f>+IFERROR(HLOOKUP($B17,'[1]10월누계'!$D$6:$BN$259,16,),)/1000</f>
        <v>1077.9801242107742</v>
      </c>
      <c r="U17" s="46">
        <f>+IFERROR(HLOOKUP($B17,'[2]10월누계'!$F$6:$CP$99,16,),)/1000</f>
        <v>24.142329000000174</v>
      </c>
      <c r="V17" s="47">
        <f t="shared" si="5"/>
        <v>-1053.8377952107739</v>
      </c>
      <c r="W17" s="48">
        <f>+IFERROR(HLOOKUP($B17,'[3]10월누계'!$F$6:$CC$57,16,),)/1000</f>
        <v>2216.7038510000002</v>
      </c>
      <c r="X17" s="49">
        <f t="shared" si="6"/>
        <v>-2192.561522</v>
      </c>
      <c r="Y17" s="45">
        <f>+[12]대구!$Q$85</f>
        <v>97067.177196267032</v>
      </c>
      <c r="Z17" s="46">
        <f>+[12]대구!$R$85</f>
        <v>88642.422403341654</v>
      </c>
      <c r="AA17" s="50">
        <f>+[13]대구!$Q$85</f>
        <v>100092.59959071867</v>
      </c>
      <c r="AB17" s="51">
        <f>+[12]대구!$Q$89</f>
        <v>73096.539275073897</v>
      </c>
      <c r="AC17" s="46">
        <f>+[12]대구!$R$89</f>
        <v>72897.058340957621</v>
      </c>
      <c r="AD17" s="52">
        <f>+[13]대구!$Q$89</f>
        <v>74637.952341555399</v>
      </c>
      <c r="AE17" s="51">
        <f t="shared" si="7"/>
        <v>23970.637921193134</v>
      </c>
      <c r="AF17" s="46">
        <f t="shared" si="7"/>
        <v>15745.364062384033</v>
      </c>
      <c r="AG17" s="52">
        <f t="shared" si="7"/>
        <v>25454.647249163274</v>
      </c>
      <c r="AH17" s="17"/>
      <c r="AI17" s="493"/>
      <c r="AJ17" s="494"/>
    </row>
    <row r="18" spans="2:38" s="8" customFormat="1" ht="22.5" customHeight="1" x14ac:dyDescent="0.3">
      <c r="B18" s="8" t="s">
        <v>71</v>
      </c>
      <c r="G18" s="336" t="str">
        <f t="shared" si="1"/>
        <v>울산</v>
      </c>
      <c r="H18" s="74"/>
      <c r="I18" s="77" t="s">
        <v>71</v>
      </c>
      <c r="J18" s="9">
        <f>+IFERROR(HLOOKUP($B18,'[1]10월누계'!$D$6:$BN$259,2,),)/1000</f>
        <v>119.5</v>
      </c>
      <c r="K18" s="10">
        <f>+IFERROR(HLOOKUP($B18,'[2]10월누계'!$F$6:$CP$99,2,),)/1000</f>
        <v>108.9315</v>
      </c>
      <c r="L18" s="11">
        <f t="shared" si="0"/>
        <v>-10.5685</v>
      </c>
      <c r="M18" s="12">
        <f>+IFERROR(HLOOKUP($B18,'[3]10월누계'!$F$6:$CC$57,2,),)/1000</f>
        <v>108.774</v>
      </c>
      <c r="N18" s="13">
        <f t="shared" si="2"/>
        <v>0.15749999999999886</v>
      </c>
      <c r="O18" s="9">
        <f>+IFERROR(HLOOKUP($B18,'[1]10월누계'!$D$6:$BN$259,3,),)/1000</f>
        <v>12245.449000000001</v>
      </c>
      <c r="P18" s="10">
        <f>+IFERROR(HLOOKUP($B18,'[2]10월누계'!$F$6:$CP$99,3,),)/1000</f>
        <v>11372.861967999999</v>
      </c>
      <c r="Q18" s="11">
        <f t="shared" si="3"/>
        <v>-872.58703200000127</v>
      </c>
      <c r="R18" s="12">
        <f>+IFERROR(HLOOKUP($B18,'[3]10월누계'!$F$6:$CC$57,3,),)/1000</f>
        <v>11248.414042000002</v>
      </c>
      <c r="S18" s="13">
        <f t="shared" si="4"/>
        <v>124.4479259999971</v>
      </c>
      <c r="T18" s="9">
        <f>+IFERROR(HLOOKUP($B18,'[1]10월누계'!$D$6:$BN$259,16,),)/1000</f>
        <v>947.24572623057156</v>
      </c>
      <c r="U18" s="10">
        <f>+IFERROR(HLOOKUP($B18,'[2]10월누계'!$F$6:$CP$99,16,),)/1000</f>
        <v>916.16563899999926</v>
      </c>
      <c r="V18" s="11">
        <f t="shared" si="5"/>
        <v>-31.080087230572303</v>
      </c>
      <c r="W18" s="12">
        <f>+IFERROR(HLOOKUP($B18,'[3]10월누계'!$F$6:$CC$57,16,),)/1000</f>
        <v>1238.1898330000006</v>
      </c>
      <c r="X18" s="13">
        <f t="shared" si="6"/>
        <v>-322.02419400000133</v>
      </c>
      <c r="Y18" s="9">
        <f>+[12]울산!$Q$85</f>
        <v>102472.37656903766</v>
      </c>
      <c r="Z18" s="10">
        <f>+[12]울산!$R$85</f>
        <v>104403.79475174764</v>
      </c>
      <c r="AA18" s="14">
        <f>+[13]울산!$Q$85</f>
        <v>103410.8706308493</v>
      </c>
      <c r="AB18" s="15">
        <f>+[12]울산!$Q$89</f>
        <v>81915.504826694538</v>
      </c>
      <c r="AC18" s="10">
        <f>+[12]울산!$R$89</f>
        <v>82371.71905541567</v>
      </c>
      <c r="AD18" s="16">
        <f>+[13]울산!$Q$89</f>
        <v>80071.378177975814</v>
      </c>
      <c r="AE18" s="15">
        <f t="shared" si="7"/>
        <v>20556.871742343123</v>
      </c>
      <c r="AF18" s="10">
        <f t="shared" si="7"/>
        <v>22032.075696331973</v>
      </c>
      <c r="AG18" s="16">
        <f t="shared" si="7"/>
        <v>23339.492452873485</v>
      </c>
      <c r="AH18" s="17"/>
      <c r="AI18" s="493"/>
      <c r="AJ18" s="494"/>
    </row>
    <row r="19" spans="2:38" s="8" customFormat="1" ht="22.5" customHeight="1" x14ac:dyDescent="0.3">
      <c r="B19" s="8" t="s">
        <v>76</v>
      </c>
      <c r="G19" s="336" t="str">
        <f t="shared" si="1"/>
        <v>아산</v>
      </c>
      <c r="H19" s="74"/>
      <c r="I19" s="75" t="s">
        <v>27</v>
      </c>
      <c r="J19" s="45">
        <f>+IFERROR(HLOOKUP($B19,'[1]10월누계'!$D$6:$BN$259,2,),)/1000</f>
        <v>219</v>
      </c>
      <c r="K19" s="46">
        <f>+IFERROR(HLOOKUP($B19,'[2]10월누계'!$F$6:$CP$99,2,),)/1000</f>
        <v>208.976</v>
      </c>
      <c r="L19" s="47">
        <f t="shared" si="0"/>
        <v>-10.024000000000001</v>
      </c>
      <c r="M19" s="48">
        <f>+IFERROR(HLOOKUP($B19,'[3]10월누계'!$F$6:$CC$57,2,),)/1000</f>
        <v>267.06150000000002</v>
      </c>
      <c r="N19" s="49">
        <f t="shared" si="2"/>
        <v>-58.085500000000025</v>
      </c>
      <c r="O19" s="45">
        <f>+IFERROR(HLOOKUP($B19,'[1]10월누계'!$D$6:$BN$259,3,),)/1000</f>
        <v>22557</v>
      </c>
      <c r="P19" s="46">
        <f>+IFERROR(HLOOKUP($B19,'[2]10월누계'!$F$6:$CP$99,3,),)/1000</f>
        <v>20122.703657000002</v>
      </c>
      <c r="Q19" s="47">
        <f t="shared" si="3"/>
        <v>-2434.2963429999982</v>
      </c>
      <c r="R19" s="48">
        <f>+IFERROR(HLOOKUP($B19,'[3]10월누계'!$F$6:$CC$57,3,),)/1000</f>
        <v>26913.525007000004</v>
      </c>
      <c r="S19" s="49">
        <f t="shared" si="4"/>
        <v>-6790.821350000002</v>
      </c>
      <c r="T19" s="45">
        <f>+IFERROR(HLOOKUP($B19,'[1]10월누계'!$D$6:$BN$259,16,),)/1000</f>
        <v>2864.5775880586198</v>
      </c>
      <c r="U19" s="46">
        <f>+IFERROR(HLOOKUP($B19,'[2]10월누계'!$F$6:$CP$99,16,),)/1000</f>
        <v>844.40573200000324</v>
      </c>
      <c r="V19" s="47">
        <f t="shared" si="5"/>
        <v>-2020.1718560586164</v>
      </c>
      <c r="W19" s="48">
        <f>+IFERROR(HLOOKUP($B19,'[3]10월누계'!$F$6:$CC$57,16,),)/1000</f>
        <v>3882.6669790000042</v>
      </c>
      <c r="X19" s="49">
        <f t="shared" si="6"/>
        <v>-3038.2612470000008</v>
      </c>
      <c r="Y19" s="45">
        <f>+[12]아산!$Q$85</f>
        <v>103000</v>
      </c>
      <c r="Z19" s="46">
        <f>+[12]아산!$R$85</f>
        <v>96281.155876183999</v>
      </c>
      <c r="AA19" s="50">
        <f>+[13]아산!$Q$85</f>
        <v>100725.63408039347</v>
      </c>
      <c r="AB19" s="51">
        <f>+[12]아산!$Q$89</f>
        <v>78390.842508824746</v>
      </c>
      <c r="AC19" s="46">
        <f>+[12]아산!$R$89</f>
        <v>80723.026897508258</v>
      </c>
      <c r="AD19" s="52">
        <f>+[13]아산!$Q$89</f>
        <v>76735.5377352285</v>
      </c>
      <c r="AE19" s="51">
        <f t="shared" si="7"/>
        <v>24609.157491175254</v>
      </c>
      <c r="AF19" s="46">
        <f t="shared" si="7"/>
        <v>15558.128978675741</v>
      </c>
      <c r="AG19" s="52">
        <f t="shared" si="7"/>
        <v>23990.096345164973</v>
      </c>
      <c r="AH19" s="17"/>
      <c r="AI19" s="493"/>
      <c r="AJ19" s="494"/>
    </row>
    <row r="20" spans="2:38" s="8" customFormat="1" ht="22.5" customHeight="1" x14ac:dyDescent="0.3">
      <c r="B20" s="8" t="s">
        <v>72</v>
      </c>
      <c r="G20" s="336" t="str">
        <f t="shared" si="1"/>
        <v>전주</v>
      </c>
      <c r="H20" s="74"/>
      <c r="I20" s="75" t="s">
        <v>72</v>
      </c>
      <c r="J20" s="45">
        <f>+IFERROR(HLOOKUP($B20,'[1]10월누계'!$D$6:$BN$259,2,),)/1000</f>
        <v>107</v>
      </c>
      <c r="K20" s="46">
        <f>+IFERROR(HLOOKUP($B20,'[2]10월누계'!$F$6:$CP$99,2,),)/1000</f>
        <v>128.048</v>
      </c>
      <c r="L20" s="47">
        <f t="shared" si="0"/>
        <v>21.048000000000002</v>
      </c>
      <c r="M20" s="48">
        <f>+IFERROR(HLOOKUP($B20,'[3]10월누계'!$F$6:$CC$57,2,),)/1000</f>
        <v>85.15</v>
      </c>
      <c r="N20" s="49">
        <f t="shared" si="2"/>
        <v>42.897999999999996</v>
      </c>
      <c r="O20" s="45">
        <f>+IFERROR(HLOOKUP($B20,'[1]10월누계'!$D$6:$BN$259,3,),)/1000</f>
        <v>10547.6228266</v>
      </c>
      <c r="P20" s="46">
        <f>+IFERROR(HLOOKUP($B20,'[2]10월누계'!$F$6:$CP$99,3,),)/1000</f>
        <v>12455.127586999999</v>
      </c>
      <c r="Q20" s="47">
        <f t="shared" si="3"/>
        <v>1907.5047603999992</v>
      </c>
      <c r="R20" s="48">
        <f>+IFERROR(HLOOKUP($B20,'[3]10월누계'!$F$6:$CC$57,3,),)/1000</f>
        <v>8192.708802000001</v>
      </c>
      <c r="S20" s="49">
        <f t="shared" si="4"/>
        <v>4262.418784999998</v>
      </c>
      <c r="T20" s="45">
        <f>+IFERROR(HLOOKUP($B20,'[1]10월누계'!$D$6:$BN$259,16,),)/1000</f>
        <v>1175.206909083312</v>
      </c>
      <c r="U20" s="46">
        <f>+IFERROR(HLOOKUP($B20,'[2]10월누계'!$F$6:$CP$99,16,),)/1000</f>
        <v>1225.8349309999987</v>
      </c>
      <c r="V20" s="47">
        <f t="shared" si="5"/>
        <v>50.628021916686748</v>
      </c>
      <c r="W20" s="48">
        <f>+IFERROR(HLOOKUP($B20,'[3]10월누계'!$F$6:$CC$57,16,),)/1000</f>
        <v>565.11720100000025</v>
      </c>
      <c r="X20" s="49">
        <f t="shared" si="6"/>
        <v>660.71772999999848</v>
      </c>
      <c r="Y20" s="45">
        <f>+[12]전주!$Q$85</f>
        <v>98575.914267289714</v>
      </c>
      <c r="Z20" s="46">
        <f>+[12]전주!$R$85</f>
        <v>97269.221108492857</v>
      </c>
      <c r="AA20" s="50">
        <f>+[13]전주!$Q$85</f>
        <v>96216.462650092813</v>
      </c>
      <c r="AB20" s="51">
        <f>+[12]전주!$Q$89</f>
        <v>73168.868356853796</v>
      </c>
      <c r="AC20" s="46">
        <f>+[12]전주!$R$89</f>
        <v>75569.005414817162</v>
      </c>
      <c r="AD20" s="52">
        <f>+[13]전주!$Q$89</f>
        <v>72048.068991028238</v>
      </c>
      <c r="AE20" s="51">
        <f t="shared" si="7"/>
        <v>25407.045910435918</v>
      </c>
      <c r="AF20" s="46">
        <f t="shared" si="7"/>
        <v>21700.215693675695</v>
      </c>
      <c r="AG20" s="52">
        <f t="shared" si="7"/>
        <v>24168.393659064575</v>
      </c>
      <c r="AH20" s="17"/>
      <c r="AI20" s="493"/>
      <c r="AJ20" s="494"/>
    </row>
    <row r="21" spans="2:38" s="8" customFormat="1" ht="22.5" customHeight="1" x14ac:dyDescent="0.3">
      <c r="B21" s="8" t="s">
        <v>73</v>
      </c>
      <c r="G21" s="336" t="str">
        <f t="shared" si="1"/>
        <v>군산</v>
      </c>
      <c r="H21" s="74"/>
      <c r="I21" s="75" t="s">
        <v>73</v>
      </c>
      <c r="J21" s="45">
        <f>+IFERROR(HLOOKUP($B21,'[1]10월누계'!$D$6:$BN$259,2,),)/1000</f>
        <v>70</v>
      </c>
      <c r="K21" s="46">
        <f>+IFERROR(HLOOKUP($B21,'[2]10월누계'!$F$6:$CP$99,2,),)/1000</f>
        <v>47.997999999999998</v>
      </c>
      <c r="L21" s="47">
        <f t="shared" si="0"/>
        <v>-22.002000000000002</v>
      </c>
      <c r="M21" s="48">
        <f>+IFERROR(HLOOKUP($B21,'[3]10월누계'!$F$6:$CC$57,2,),)/1000</f>
        <v>85.586500000000001</v>
      </c>
      <c r="N21" s="49">
        <f t="shared" si="2"/>
        <v>-37.588500000000003</v>
      </c>
      <c r="O21" s="45">
        <f>+IFERROR(HLOOKUP($B21,'[1]10월누계'!$D$6:$BN$259,3,),)/1000</f>
        <v>7768.4629830000013</v>
      </c>
      <c r="P21" s="46">
        <f>+IFERROR(HLOOKUP($B21,'[2]10월누계'!$F$6:$CP$99,3,),)/1000</f>
        <v>5272.3094409999985</v>
      </c>
      <c r="Q21" s="47">
        <f t="shared" si="3"/>
        <v>-2496.1535420000027</v>
      </c>
      <c r="R21" s="48">
        <f>+IFERROR(HLOOKUP($B21,'[3]10월누계'!$F$6:$CC$57,3,),)/1000</f>
        <v>9687.7000860000007</v>
      </c>
      <c r="S21" s="49">
        <f t="shared" si="4"/>
        <v>-4415.3906450000022</v>
      </c>
      <c r="T21" s="45">
        <f>+IFERROR(HLOOKUP($B21,'[1]10월누계'!$D$6:$BN$259,16,),)/1000</f>
        <v>1839.8775434962504</v>
      </c>
      <c r="U21" s="46">
        <f>+IFERROR(HLOOKUP($B21,'[2]10월누계'!$F$6:$CP$99,16,),)/1000</f>
        <v>952.38856099999873</v>
      </c>
      <c r="V21" s="47">
        <f t="shared" si="5"/>
        <v>-887.48898249625165</v>
      </c>
      <c r="W21" s="48">
        <f>+IFERROR(HLOOKUP($B21,'[3]10월누계'!$F$6:$CC$57,16,),)/1000</f>
        <v>2690.6226990000023</v>
      </c>
      <c r="X21" s="49">
        <f t="shared" si="6"/>
        <v>-1738.2341380000034</v>
      </c>
      <c r="Y21" s="45">
        <f>+[12]군산!$Q$85</f>
        <v>110978.04261428573</v>
      </c>
      <c r="Z21" s="46">
        <f>+[12]군산!$R$85</f>
        <v>109828.4700874367</v>
      </c>
      <c r="AA21" s="50">
        <f>+[13]군산!$Q$85</f>
        <v>113207.38480075337</v>
      </c>
      <c r="AB21" s="51">
        <f>+[12]군산!$Q$89</f>
        <v>72621.816183386909</v>
      </c>
      <c r="AC21" s="46">
        <f>+[12]군산!$R$89</f>
        <v>72426.846544800472</v>
      </c>
      <c r="AD21" s="52">
        <f>+[13]군산!$Q$89</f>
        <v>72302.133567271987</v>
      </c>
      <c r="AE21" s="51">
        <f t="shared" si="7"/>
        <v>38356.226430898823</v>
      </c>
      <c r="AF21" s="46">
        <f t="shared" si="7"/>
        <v>37401.623542636225</v>
      </c>
      <c r="AG21" s="52">
        <f t="shared" si="7"/>
        <v>40905.25123348138</v>
      </c>
      <c r="AH21" s="17"/>
      <c r="AI21" s="493"/>
      <c r="AJ21" s="494"/>
    </row>
    <row r="22" spans="2:38" s="8" customFormat="1" ht="22.5" customHeight="1" x14ac:dyDescent="0.3">
      <c r="B22" s="8" t="s">
        <v>74</v>
      </c>
      <c r="G22" s="336" t="str">
        <f t="shared" si="1"/>
        <v>원주</v>
      </c>
      <c r="H22" s="74"/>
      <c r="I22" s="75" t="s">
        <v>74</v>
      </c>
      <c r="J22" s="45">
        <f>+IFERROR(HLOOKUP($B22,'[1]10월누계'!$D$6:$BN$259,2,),)/1000</f>
        <v>45</v>
      </c>
      <c r="K22" s="46">
        <f>+IFERROR(HLOOKUP($B22,'[2]10월누계'!$F$6:$CP$99,2,),)/1000</f>
        <v>27.981000000000002</v>
      </c>
      <c r="L22" s="47">
        <f t="shared" si="0"/>
        <v>-17.018999999999998</v>
      </c>
      <c r="M22" s="48">
        <f>+IFERROR(HLOOKUP($B22,'[3]10월누계'!$F$6:$CC$57,2,),)/1000</f>
        <v>55.917000000000002</v>
      </c>
      <c r="N22" s="49">
        <f t="shared" si="2"/>
        <v>-27.936</v>
      </c>
      <c r="O22" s="45">
        <f>+IFERROR(HLOOKUP($B22,'[1]10월누계'!$D$6:$BN$259,3,),)/1000</f>
        <v>5040</v>
      </c>
      <c r="P22" s="46">
        <f>+IFERROR(HLOOKUP($B22,'[2]10월누계'!$F$6:$CP$99,3,),)/1000</f>
        <v>3052.954099</v>
      </c>
      <c r="Q22" s="47">
        <f t="shared" si="3"/>
        <v>-1987.045901</v>
      </c>
      <c r="R22" s="48">
        <f>+IFERROR(HLOOKUP($B22,'[3]10월누계'!$F$6:$CC$57,3,),)/1000</f>
        <v>6269.2926669999997</v>
      </c>
      <c r="S22" s="49">
        <f t="shared" si="4"/>
        <v>-3216.3385679999997</v>
      </c>
      <c r="T22" s="45">
        <f>+IFERROR(HLOOKUP($B22,'[1]10월누계'!$D$6:$BN$259,16,),)/1000</f>
        <v>802.95939672164457</v>
      </c>
      <c r="U22" s="46">
        <f>+IFERROR(HLOOKUP($B22,'[2]10월누계'!$F$6:$CP$99,16,),)/1000</f>
        <v>168.26628799999992</v>
      </c>
      <c r="V22" s="47">
        <f t="shared" si="5"/>
        <v>-634.69310872164465</v>
      </c>
      <c r="W22" s="48">
        <f>+IFERROR(HLOOKUP($B22,'[3]10월누계'!$F$6:$CC$57,16,),)/1000</f>
        <v>1233.0110899999993</v>
      </c>
      <c r="X22" s="49">
        <f t="shared" si="6"/>
        <v>-1064.7448019999993</v>
      </c>
      <c r="Y22" s="45">
        <f>+[12]원주!$Q$85</f>
        <v>112000</v>
      </c>
      <c r="Z22" s="46">
        <f>+[12]원주!$R$85</f>
        <v>109109.61569258265</v>
      </c>
      <c r="AA22" s="50">
        <f>+[13]원주!$Q$85</f>
        <v>112123.11157039581</v>
      </c>
      <c r="AB22" s="51">
        <f>+[12]원주!$Q$89</f>
        <v>73300.52217974326</v>
      </c>
      <c r="AC22" s="46">
        <f>+[12]원주!$R$89</f>
        <v>71526.439285075961</v>
      </c>
      <c r="AD22" s="52">
        <f>+[13]원주!$Q$89</f>
        <v>73820.926222174516</v>
      </c>
      <c r="AE22" s="51">
        <f t="shared" si="7"/>
        <v>38699.47782025674</v>
      </c>
      <c r="AF22" s="46">
        <f t="shared" si="7"/>
        <v>37583.176407506689</v>
      </c>
      <c r="AG22" s="52">
        <f t="shared" si="7"/>
        <v>38302.18534822129</v>
      </c>
      <c r="AH22" s="17"/>
      <c r="AI22" s="493"/>
      <c r="AJ22" s="494"/>
    </row>
    <row r="23" spans="2:38" s="8" customFormat="1" ht="22.5" customHeight="1" x14ac:dyDescent="0.3">
      <c r="B23" s="8" t="s">
        <v>75</v>
      </c>
      <c r="F23" s="84">
        <f>+K27-J27</f>
        <v>-395.80317999999988</v>
      </c>
      <c r="G23" s="334" t="str">
        <f t="shared" si="1"/>
        <v>제주</v>
      </c>
      <c r="H23" s="74"/>
      <c r="I23" s="75" t="s">
        <v>75</v>
      </c>
      <c r="J23" s="45">
        <f>+IFERROR(HLOOKUP($B23,'[1]10월누계'!$D$6:$BN$259,2,),)/1000</f>
        <v>81</v>
      </c>
      <c r="K23" s="46">
        <f>+IFERROR(HLOOKUP($B23,'[2]10월누계'!$F$6:$CP$99,2,),)/1000</f>
        <v>54.002000000000002</v>
      </c>
      <c r="L23" s="47">
        <f t="shared" si="0"/>
        <v>-26.997999999999998</v>
      </c>
      <c r="M23" s="48">
        <f>+IFERROR(HLOOKUP($B23,'[3]10월누계'!$F$6:$CC$57,2,),)/1000</f>
        <v>34.505499999999998</v>
      </c>
      <c r="N23" s="49">
        <f t="shared" si="2"/>
        <v>19.496500000000005</v>
      </c>
      <c r="O23" s="45">
        <f>+IFERROR(HLOOKUP($B23,'[1]10월누계'!$D$6:$BN$259,3,),)/1000</f>
        <v>9949.8364999999994</v>
      </c>
      <c r="P23" s="46">
        <f>+IFERROR(HLOOKUP($B23,'[2]10월누계'!$F$6:$CP$99,3,),)/1000</f>
        <v>6660.059881000001</v>
      </c>
      <c r="Q23" s="47">
        <f t="shared" si="3"/>
        <v>-3289.7766189999984</v>
      </c>
      <c r="R23" s="48">
        <f>+IFERROR(HLOOKUP($B23,'[3]10월누계'!$F$6:$CC$57,3,),)/1000</f>
        <v>4295.7206310000001</v>
      </c>
      <c r="S23" s="49">
        <f t="shared" si="4"/>
        <v>2364.3392500000009</v>
      </c>
      <c r="T23" s="45">
        <f>+IFERROR(HLOOKUP($B23,'[1]10월누계'!$D$6:$BN$259,16,),)/1000</f>
        <v>1593.1587088490189</v>
      </c>
      <c r="U23" s="46">
        <f>+IFERROR(HLOOKUP($B23,'[2]10월누계'!$F$6:$CP$99,16,),)/1000</f>
        <v>622.57920200000035</v>
      </c>
      <c r="V23" s="47">
        <f t="shared" si="5"/>
        <v>-970.57950684901857</v>
      </c>
      <c r="W23" s="48">
        <f>+IFERROR(HLOOKUP($B23,'[3]10월누계'!$F$6:$CC$57,16,),)/1000</f>
        <v>330.03548599999993</v>
      </c>
      <c r="X23" s="49">
        <f t="shared" si="6"/>
        <v>292.54371600000042</v>
      </c>
      <c r="Y23" s="45">
        <f>+[12]제주!$Q$85</f>
        <v>122837.48765432098</v>
      </c>
      <c r="Z23" s="46">
        <f>+[12]제주!$R$85</f>
        <v>123136.80411228527</v>
      </c>
      <c r="AA23" s="50">
        <f>+[13]제주!$Q$85</f>
        <v>124493.79464143398</v>
      </c>
      <c r="AB23" s="51">
        <f>+[12]제주!$Q$89</f>
        <v>91087.478911601604</v>
      </c>
      <c r="AC23" s="46">
        <f>+[12]제주!$R$89</f>
        <v>93131.595817817259</v>
      </c>
      <c r="AD23" s="52">
        <f>+[13]제주!$Q$89</f>
        <v>89288.003928705541</v>
      </c>
      <c r="AE23" s="51">
        <f t="shared" si="7"/>
        <v>31750.008742719379</v>
      </c>
      <c r="AF23" s="46">
        <f t="shared" si="7"/>
        <v>30005.208294468015</v>
      </c>
      <c r="AG23" s="52">
        <f t="shared" si="7"/>
        <v>35205.790712728442</v>
      </c>
      <c r="AH23" s="17"/>
      <c r="AI23" s="493"/>
      <c r="AJ23" s="494"/>
    </row>
    <row r="24" spans="2:38" s="8" customFormat="1" ht="22.5" customHeight="1" x14ac:dyDescent="0.3">
      <c r="F24" s="495">
        <f>+K24/J24</f>
        <v>0.8215493693693694</v>
      </c>
      <c r="G24" s="337" t="str">
        <f t="shared" si="1"/>
        <v>수도권</v>
      </c>
      <c r="H24" s="74"/>
      <c r="I24" s="78" t="s">
        <v>42</v>
      </c>
      <c r="J24" s="22">
        <f>SUM(J7:J10)</f>
        <v>999</v>
      </c>
      <c r="K24" s="19">
        <f>SUM(K7:K10)</f>
        <v>820.72782000000007</v>
      </c>
      <c r="L24" s="20">
        <f t="shared" si="0"/>
        <v>-178.27217999999993</v>
      </c>
      <c r="M24" s="24">
        <f>SUM(M7:M10)</f>
        <v>999.1674999999999</v>
      </c>
      <c r="N24" s="21">
        <f t="shared" si="2"/>
        <v>-178.43967999999984</v>
      </c>
      <c r="O24" s="22">
        <f>SUM(O7:O10)</f>
        <v>97965.591066108449</v>
      </c>
      <c r="P24" s="19">
        <f>SUM(P7:P10)</f>
        <v>78671.314637000003</v>
      </c>
      <c r="Q24" s="20">
        <f t="shared" si="3"/>
        <v>-19294.276429108446</v>
      </c>
      <c r="R24" s="24">
        <f>SUM(R7:R10)</f>
        <v>98402.640736999994</v>
      </c>
      <c r="S24" s="21">
        <f t="shared" si="4"/>
        <v>-19731.326099999991</v>
      </c>
      <c r="T24" s="22">
        <f>SUM(T7:T10)</f>
        <v>6883.6356438872044</v>
      </c>
      <c r="U24" s="19">
        <f>SUM(U7:U10)</f>
        <v>1870.9565750200011</v>
      </c>
      <c r="V24" s="20">
        <f t="shared" si="5"/>
        <v>-5012.6790688672036</v>
      </c>
      <c r="W24" s="24">
        <f>SUM(W7:W10)</f>
        <v>7787.2807830099991</v>
      </c>
      <c r="X24" s="21">
        <f t="shared" si="6"/>
        <v>-5916.3242079899983</v>
      </c>
      <c r="Y24" s="22">
        <f>+[12]수도권!$Q$85</f>
        <v>98063.654720829261</v>
      </c>
      <c r="Z24" s="19">
        <f>+[12]수도권!$R$85</f>
        <v>95890.166401644354</v>
      </c>
      <c r="AA24" s="23">
        <f>+[13]수도권!$Q$85</f>
        <v>98493.09848149601</v>
      </c>
      <c r="AB24" s="28">
        <f>+[12]수도권!$Q$89</f>
        <v>80925.735810208047</v>
      </c>
      <c r="AC24" s="19">
        <f>+[12]수도권!$R$89</f>
        <v>80986.515213079751</v>
      </c>
      <c r="AD24" s="29">
        <f>+[13]수도권!$Q$89</f>
        <v>80768.41748770143</v>
      </c>
      <c r="AE24" s="28">
        <f t="shared" si="7"/>
        <v>17137.918910621214</v>
      </c>
      <c r="AF24" s="19">
        <f t="shared" si="7"/>
        <v>14903.651188564603</v>
      </c>
      <c r="AG24" s="29">
        <f t="shared" si="7"/>
        <v>17724.68099379458</v>
      </c>
      <c r="AH24" s="17"/>
      <c r="AI24" s="493"/>
      <c r="AJ24" s="494"/>
    </row>
    <row r="25" spans="2:38" s="8" customFormat="1" ht="22.5" customHeight="1" x14ac:dyDescent="0.3">
      <c r="F25" s="495">
        <f>+K25/J25</f>
        <v>0.8638156682027649</v>
      </c>
      <c r="G25" s="334" t="str">
        <f t="shared" si="1"/>
        <v>영남권</v>
      </c>
      <c r="H25" s="74"/>
      <c r="I25" s="78" t="s">
        <v>43</v>
      </c>
      <c r="J25" s="22">
        <f>SUM(J11:J18)</f>
        <v>1193.5</v>
      </c>
      <c r="K25" s="19">
        <f>SUM(K11:K18)</f>
        <v>1030.9639999999999</v>
      </c>
      <c r="L25" s="20">
        <f t="shared" si="0"/>
        <v>-162.53600000000006</v>
      </c>
      <c r="M25" s="24">
        <f>SUM(M11:M18)</f>
        <v>1297.8825000000002</v>
      </c>
      <c r="N25" s="21">
        <f t="shared" si="2"/>
        <v>-266.91850000000022</v>
      </c>
      <c r="O25" s="22">
        <f>SUM(O11:O18)</f>
        <v>119989.43308128431</v>
      </c>
      <c r="P25" s="19">
        <f>SUM(P11:P18)</f>
        <v>101767.94438100001</v>
      </c>
      <c r="Q25" s="20">
        <f t="shared" si="3"/>
        <v>-18221.488700284302</v>
      </c>
      <c r="R25" s="24">
        <f>SUM(R11:R18)</f>
        <v>130561.27278300001</v>
      </c>
      <c r="S25" s="21">
        <f t="shared" si="4"/>
        <v>-28793.328401999999</v>
      </c>
      <c r="T25" s="22">
        <f>SUM(T11:T18)</f>
        <v>10370.961077123589</v>
      </c>
      <c r="U25" s="19">
        <f>SUM(U11:U18)</f>
        <v>5507.9014520000055</v>
      </c>
      <c r="V25" s="20">
        <f t="shared" si="5"/>
        <v>-4863.0596251235838</v>
      </c>
      <c r="W25" s="24">
        <f>SUM(W11:W18)</f>
        <v>13784.402498000005</v>
      </c>
      <c r="X25" s="21">
        <f t="shared" si="6"/>
        <v>-8276.5010459999994</v>
      </c>
      <c r="Y25" s="22">
        <f>+[12]영남권!$Q$85</f>
        <v>100535.76295038484</v>
      </c>
      <c r="Z25" s="19">
        <f>+[12]영남권!$R$85</f>
        <v>98733.481511272781</v>
      </c>
      <c r="AA25" s="23">
        <f>+[13]영남권!$Q$85</f>
        <v>100612.36251198559</v>
      </c>
      <c r="AB25" s="28">
        <f>+[12]영남권!$Q$89</f>
        <v>78958.931917698661</v>
      </c>
      <c r="AC25" s="19">
        <f>+[12]영남권!$R$89</f>
        <v>79208.184373357857</v>
      </c>
      <c r="AD25" s="29">
        <f>+[13]영남권!$Q$89</f>
        <v>78551.337188436839</v>
      </c>
      <c r="AE25" s="28">
        <f t="shared" si="7"/>
        <v>21576.831032686183</v>
      </c>
      <c r="AF25" s="19">
        <f t="shared" si="7"/>
        <v>19525.297137914924</v>
      </c>
      <c r="AG25" s="29">
        <f t="shared" si="7"/>
        <v>22061.025323548747</v>
      </c>
      <c r="AH25" s="17"/>
      <c r="AI25" s="493"/>
      <c r="AJ25" s="494"/>
    </row>
    <row r="26" spans="2:38" s="8" customFormat="1" ht="22.5" customHeight="1" x14ac:dyDescent="0.3">
      <c r="F26" s="495">
        <f>+K26/J26</f>
        <v>0.89464559386973175</v>
      </c>
      <c r="G26" s="334" t="str">
        <f t="shared" si="1"/>
        <v>중부권</v>
      </c>
      <c r="H26" s="74"/>
      <c r="I26" s="78" t="s">
        <v>106</v>
      </c>
      <c r="J26" s="22">
        <f>SUM(J19:J23)</f>
        <v>522</v>
      </c>
      <c r="K26" s="19">
        <f>SUM(K19:K23)</f>
        <v>467.005</v>
      </c>
      <c r="L26" s="20">
        <f t="shared" si="0"/>
        <v>-54.995000000000005</v>
      </c>
      <c r="M26" s="24">
        <f>SUM(M19:M23)</f>
        <v>528.22050000000002</v>
      </c>
      <c r="N26" s="21">
        <f t="shared" si="2"/>
        <v>-61.21550000000002</v>
      </c>
      <c r="O26" s="22">
        <f>SUM(O19:O23)</f>
        <v>55862.922309599999</v>
      </c>
      <c r="P26" s="19">
        <f>SUM(P19:P23)</f>
        <v>47563.154665000002</v>
      </c>
      <c r="Q26" s="20">
        <f t="shared" si="3"/>
        <v>-8299.7676445999969</v>
      </c>
      <c r="R26" s="24">
        <f>SUM(R19:R23)</f>
        <v>55358.947193000015</v>
      </c>
      <c r="S26" s="21">
        <f t="shared" si="4"/>
        <v>-7795.7925280000127</v>
      </c>
      <c r="T26" s="22">
        <f>SUM(T19:T23)</f>
        <v>8275.7801462088464</v>
      </c>
      <c r="U26" s="19">
        <f>SUM(U19:U23)</f>
        <v>3813.4747140000009</v>
      </c>
      <c r="V26" s="20">
        <f t="shared" si="5"/>
        <v>-4462.3054322088456</v>
      </c>
      <c r="W26" s="24">
        <f>SUM(W19:W23)</f>
        <v>8701.4534550000062</v>
      </c>
      <c r="X26" s="21">
        <f t="shared" si="6"/>
        <v>-4887.9787410000054</v>
      </c>
      <c r="Y26" s="22">
        <f>+[12]중부권!$Q$85</f>
        <v>107017.09254712643</v>
      </c>
      <c r="Z26" s="19">
        <f>+[12]중부권!$R$85</f>
        <v>101741.24873490626</v>
      </c>
      <c r="AA26" s="23">
        <f>+[13]중부권!$Q$85</f>
        <v>104789.04081212259</v>
      </c>
      <c r="AB26" s="28">
        <f>+[12]중부권!$Q$89</f>
        <v>78078.160625251418</v>
      </c>
      <c r="AC26" s="19">
        <f>+[12]중부권!$R$89</f>
        <v>79295.4920339167</v>
      </c>
      <c r="AD26" s="29">
        <f>+[13]중부권!$Q$89</f>
        <v>75774.714353729374</v>
      </c>
      <c r="AE26" s="28">
        <f t="shared" si="7"/>
        <v>28938.931921875017</v>
      </c>
      <c r="AF26" s="19">
        <f t="shared" si="7"/>
        <v>22445.756700989557</v>
      </c>
      <c r="AG26" s="29">
        <f t="shared" si="7"/>
        <v>29014.326458393218</v>
      </c>
      <c r="AH26" s="17"/>
      <c r="AI26" s="493"/>
      <c r="AJ26" s="494"/>
    </row>
    <row r="27" spans="2:38" s="3" customFormat="1" ht="22.5" customHeight="1" x14ac:dyDescent="0.3">
      <c r="B27" s="25"/>
      <c r="F27" s="483">
        <f>+K27/M27</f>
        <v>0.8206990516483289</v>
      </c>
      <c r="G27" s="336">
        <f>+K27/J27</f>
        <v>0.85418928716153997</v>
      </c>
      <c r="H27" s="267" t="s">
        <v>94</v>
      </c>
      <c r="I27" s="268"/>
      <c r="J27" s="269">
        <f>SUM(J24:J26)</f>
        <v>2714.5</v>
      </c>
      <c r="K27" s="270">
        <f>SUM(K24:K26)</f>
        <v>2318.6968200000001</v>
      </c>
      <c r="L27" s="271">
        <f t="shared" si="0"/>
        <v>-395.80317999999988</v>
      </c>
      <c r="M27" s="272">
        <f>SUM(M24:M26)</f>
        <v>2825.2705000000001</v>
      </c>
      <c r="N27" s="273">
        <f t="shared" si="2"/>
        <v>-506.57367999999997</v>
      </c>
      <c r="O27" s="269">
        <f>SUM(O24:O26)</f>
        <v>273817.94645699277</v>
      </c>
      <c r="P27" s="270">
        <f>SUM(P24:P26)</f>
        <v>228002.41368300002</v>
      </c>
      <c r="Q27" s="271">
        <f t="shared" si="3"/>
        <v>-45815.532773992745</v>
      </c>
      <c r="R27" s="272">
        <f>SUM(R24:R26)</f>
        <v>284322.860713</v>
      </c>
      <c r="S27" s="273">
        <f t="shared" si="4"/>
        <v>-56320.447029999981</v>
      </c>
      <c r="T27" s="269">
        <f>SUM(T24:T26)</f>
        <v>25530.376867219638</v>
      </c>
      <c r="U27" s="270">
        <f>SUM(U24:U26)</f>
        <v>11192.332741020007</v>
      </c>
      <c r="V27" s="271">
        <f t="shared" si="5"/>
        <v>-14338.044126199631</v>
      </c>
      <c r="W27" s="272">
        <f>SUM(W24:W26)</f>
        <v>30273.136736010008</v>
      </c>
      <c r="X27" s="273">
        <f t="shared" si="6"/>
        <v>-19080.803994990001</v>
      </c>
      <c r="Y27" s="269">
        <f>+[12]합계!$Q$85</f>
        <v>100872.33245790855</v>
      </c>
      <c r="Z27" s="270">
        <f>+[12]합계!$R$85</f>
        <v>98336.18475181039</v>
      </c>
      <c r="AA27" s="274">
        <f>+[13]합계!$Q$85</f>
        <v>100644.43346398899</v>
      </c>
      <c r="AB27" s="275">
        <f>+[12]합계!$Q$89</f>
        <v>79513.389266735103</v>
      </c>
      <c r="AC27" s="270">
        <f>+[12]합계!$R$89</f>
        <v>79851.168286096101</v>
      </c>
      <c r="AD27" s="276">
        <f>+[13]합계!$Q$89</f>
        <v>78814.918034747985</v>
      </c>
      <c r="AE27" s="275">
        <f t="shared" si="7"/>
        <v>21358.943191173443</v>
      </c>
      <c r="AF27" s="270">
        <f t="shared" si="7"/>
        <v>18485.016465714289</v>
      </c>
      <c r="AG27" s="276">
        <f t="shared" si="7"/>
        <v>21829.515429241001</v>
      </c>
      <c r="AH27" s="26"/>
      <c r="AI27" s="493"/>
      <c r="AJ27" s="495">
        <f>+P27/O27</f>
        <v>0.83267885335197056</v>
      </c>
      <c r="AK27" s="483">
        <f>+P27/R27</f>
        <v>0.8019137578710186</v>
      </c>
      <c r="AL27" s="25"/>
    </row>
    <row r="28" spans="2:38" s="8" customFormat="1" ht="22.5" customHeight="1" x14ac:dyDescent="0.3">
      <c r="B28" s="8" t="s">
        <v>3</v>
      </c>
      <c r="E28" s="8" t="s">
        <v>123</v>
      </c>
      <c r="G28" s="334" t="s">
        <v>3</v>
      </c>
      <c r="H28" s="606" t="s">
        <v>3</v>
      </c>
      <c r="I28" s="607"/>
      <c r="J28" s="153">
        <f>+IFERROR(HLOOKUP($B28,'[1]10월누계'!$D$6:$BN$259,2,),)</f>
        <v>111900</v>
      </c>
      <c r="K28" s="154">
        <f>+IFERROR(HLOOKUP($E28,'[2]10월누계'!$F$6:$CP$99,2,),)</f>
        <v>91549.474000000002</v>
      </c>
      <c r="L28" s="155">
        <f>+K28-J28</f>
        <v>-20350.525999999998</v>
      </c>
      <c r="M28" s="156">
        <f>+IFERROR(HLOOKUP($E28,'[3]10월누계'!$F$6:$CC$57,2,),)</f>
        <v>86939.351999999999</v>
      </c>
      <c r="N28" s="157">
        <f>+K28-M28</f>
        <v>4610.122000000003</v>
      </c>
      <c r="O28" s="153">
        <f>+IFERROR(HLOOKUP($B28,'[1]10월누계'!$D$6:$BN$259,3,),)/1000</f>
        <v>122183.47748479998</v>
      </c>
      <c r="P28" s="154">
        <f>+IFERROR(HLOOKUP($E28,'[2]10월누계'!$F$6:$CP$99,3,),)/1000</f>
        <v>83821.366503999976</v>
      </c>
      <c r="Q28" s="155">
        <f>+P28-O28</f>
        <v>-38362.110980800004</v>
      </c>
      <c r="R28" s="156">
        <f>+IFERROR(HLOOKUP($E28,'[3]10월누계'!$F$6:$CC$57,3,),)/1000</f>
        <v>86611.076326000009</v>
      </c>
      <c r="S28" s="157">
        <f t="shared" si="4"/>
        <v>-2789.7098220000335</v>
      </c>
      <c r="T28" s="153">
        <f>+IFERROR(HLOOKUP($B28,'[1]10월누계'!$D$6:$BN$259,16,),)/1000</f>
        <v>2015.2326473753374</v>
      </c>
      <c r="U28" s="154">
        <f>+IFERROR(HLOOKUP($E28,'[2]10월누계'!$F$6:$CP$99,16,),)/1000</f>
        <v>-76.750134000018505</v>
      </c>
      <c r="V28" s="155">
        <f t="shared" si="5"/>
        <v>-2091.9827813753559</v>
      </c>
      <c r="W28" s="156">
        <f>+IFERROR(HLOOKUP($E28,'[3]10월누계'!$F$6:$CC$57,16,),)/1000</f>
        <v>483.50369900000089</v>
      </c>
      <c r="X28" s="157">
        <f t="shared" si="6"/>
        <v>-560.25383300001943</v>
      </c>
      <c r="Y28" s="287" t="s">
        <v>109</v>
      </c>
      <c r="Z28" s="288"/>
      <c r="AA28" s="288"/>
      <c r="AB28" s="288"/>
      <c r="AC28" s="288"/>
      <c r="AD28" s="288"/>
      <c r="AE28" s="288"/>
      <c r="AF28" s="288"/>
      <c r="AG28" s="289"/>
      <c r="AH28" s="17"/>
      <c r="AI28" s="18"/>
      <c r="AJ28" s="495">
        <f>+P28/O28</f>
        <v>0.68602865321481477</v>
      </c>
      <c r="AK28" s="483">
        <f>+P28/R28</f>
        <v>0.96779038039546239</v>
      </c>
    </row>
    <row r="29" spans="2:38" s="8" customFormat="1" ht="22.5" customHeight="1" x14ac:dyDescent="0.3">
      <c r="B29" s="8" t="s">
        <v>115</v>
      </c>
      <c r="C29" s="73" t="s">
        <v>46</v>
      </c>
      <c r="F29" s="495">
        <f>+K29/J29</f>
        <v>1.1422496536129809</v>
      </c>
      <c r="G29" s="335" t="str">
        <f>+I29</f>
        <v>부산모래장</v>
      </c>
      <c r="H29" s="80" t="s">
        <v>1</v>
      </c>
      <c r="I29" s="75" t="s">
        <v>115</v>
      </c>
      <c r="J29" s="55">
        <f>+IFERROR(HLOOKUP($B29,'[1]10월누계'!$D$6:$BN$259,2,),)/1000</f>
        <v>208.70218629172962</v>
      </c>
      <c r="K29" s="56">
        <f>+IFERROR(HLOOKUP($C29,'[2]10월누계'!$F$6:$CP$99,2,),)/1000</f>
        <v>238.39</v>
      </c>
      <c r="L29" s="37">
        <f t="shared" si="0"/>
        <v>29.687813708270369</v>
      </c>
      <c r="M29" s="37">
        <f>+IFERROR(HLOOKUP($C29,'[3]10월누계'!$F$6:$CC$57,2,),)/1000</f>
        <v>189.82599999999999</v>
      </c>
      <c r="N29" s="57">
        <f t="shared" si="2"/>
        <v>48.563999999999993</v>
      </c>
      <c r="O29" s="55">
        <f>+IFERROR(HLOOKUP($B29,'[1]10월누계'!$D$6:$BN$259,3,),)/1000</f>
        <v>6067.0518876070673</v>
      </c>
      <c r="P29" s="56">
        <f>+IFERROR(HLOOKUP($C29,'[2]10월누계'!$F$6:$CP$99,3,),)/1000</f>
        <v>6779.6384000000007</v>
      </c>
      <c r="Q29" s="37">
        <f t="shared" si="3"/>
        <v>712.5865123929334</v>
      </c>
      <c r="R29" s="37">
        <f>+IFERROR(HLOOKUP($C29,'[3]10월누계'!$F$6:$CC$57,3,),)/1000</f>
        <v>5582.8735800000004</v>
      </c>
      <c r="S29" s="57">
        <f t="shared" si="4"/>
        <v>1196.7648200000003</v>
      </c>
      <c r="T29" s="55">
        <f>+IFERROR(HLOOKUP($B29,'[1]10월누계'!$D$6:$BN$259,21,),)/1000</f>
        <v>693.50509930415046</v>
      </c>
      <c r="U29" s="56">
        <f>+IFERROR(HLOOKUP($C29,'[2]10월누계'!$F$6:$CP$99,21,),)/1000</f>
        <v>94.367105809806986</v>
      </c>
      <c r="V29" s="37">
        <f t="shared" si="5"/>
        <v>-599.1379934943435</v>
      </c>
      <c r="W29" s="37">
        <f>+IFERROR(HLOOKUP($C29,'[3]10월누계'!$F$6:$CC$57,21,),)/1000</f>
        <v>359.15471935601602</v>
      </c>
      <c r="X29" s="57">
        <f t="shared" si="6"/>
        <v>-264.78761354620906</v>
      </c>
      <c r="Y29" s="497"/>
      <c r="Z29" s="229"/>
      <c r="AA29" s="229"/>
      <c r="AB29" s="341"/>
      <c r="AC29" s="229"/>
      <c r="AD29" s="229"/>
      <c r="AE29" s="229"/>
      <c r="AF29" s="229"/>
      <c r="AG29" s="50"/>
      <c r="AH29" s="17"/>
      <c r="AI29" s="18"/>
      <c r="AJ29" s="495"/>
      <c r="AK29" s="495"/>
    </row>
    <row r="30" spans="2:38" s="8" customFormat="1" ht="22.5" customHeight="1" x14ac:dyDescent="0.3">
      <c r="B30" s="8" t="s">
        <v>116</v>
      </c>
      <c r="C30" s="75" t="s">
        <v>47</v>
      </c>
      <c r="F30" s="495">
        <f>+K30/J30</f>
        <v>0.49020334104019314</v>
      </c>
      <c r="G30" s="335" t="str">
        <f>+I30</f>
        <v>서부산CR</v>
      </c>
      <c r="H30" s="79"/>
      <c r="I30" s="75" t="s">
        <v>124</v>
      </c>
      <c r="J30" s="53">
        <f>+IFERROR(HLOOKUP($B30,'[1]10월누계'!$D$6:$BN$259,2,),)/1000</f>
        <v>482.08973749247315</v>
      </c>
      <c r="K30" s="58">
        <f>+IFERROR(HLOOKUP($C30,'[2]10월누계'!$F$6:$CP$99,2,),)/1000</f>
        <v>236.322</v>
      </c>
      <c r="L30" s="47">
        <f t="shared" si="0"/>
        <v>-245.76773749247315</v>
      </c>
      <c r="M30" s="47">
        <f>+IFERROR(HLOOKUP($C30,'[3]10월누계'!$F$6:$CC$57,2,),)/1000</f>
        <v>169.89</v>
      </c>
      <c r="N30" s="59">
        <f t="shared" si="2"/>
        <v>66.432000000000016</v>
      </c>
      <c r="O30" s="53">
        <f>+IFERROR(HLOOKUP($B30,'[1]10월누계'!$D$6:$BN$259,3,),)/1000</f>
        <v>7040.3050687462364</v>
      </c>
      <c r="P30" s="58">
        <f>+IFERROR(HLOOKUP($C30,'[2]10월누계'!$F$6:$CP$99,3,),)/1000</f>
        <v>3191.6460000000002</v>
      </c>
      <c r="Q30" s="47">
        <f t="shared" si="3"/>
        <v>-3848.6590687462362</v>
      </c>
      <c r="R30" s="47">
        <f>+IFERROR(HLOOKUP($C30,'[3]10월누계'!$F$6:$CC$57,3,),)/1000</f>
        <v>2387.739</v>
      </c>
      <c r="S30" s="59">
        <f t="shared" si="4"/>
        <v>803.90700000000015</v>
      </c>
      <c r="T30" s="53">
        <f>+IFERROR(HLOOKUP($B30,'[1]10월누계'!$D$6:$BN$259,21,),)/1000</f>
        <v>1144.7971287330511</v>
      </c>
      <c r="U30" s="58">
        <f>+IFERROR(HLOOKUP($C30,'[2]10월누계'!$F$6:$CP$99,21,),)/1000</f>
        <v>342.93617024032562</v>
      </c>
      <c r="V30" s="47">
        <f t="shared" si="5"/>
        <v>-801.86095849272544</v>
      </c>
      <c r="W30" s="47">
        <f>+IFERROR(HLOOKUP($C30,'[3]10월누계'!$F$6:$CC$57,21,),)/1000</f>
        <v>-56.573524403368111</v>
      </c>
      <c r="X30" s="59">
        <f t="shared" si="6"/>
        <v>399.50969464369371</v>
      </c>
      <c r="Y30" s="266"/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495"/>
      <c r="AK30" s="567"/>
      <c r="AL30" s="86"/>
    </row>
    <row r="31" spans="2:38" s="8" customFormat="1" ht="22.5" customHeight="1" x14ac:dyDescent="0.3">
      <c r="B31" s="8" t="s">
        <v>111</v>
      </c>
      <c r="C31" s="77" t="s">
        <v>111</v>
      </c>
      <c r="F31" s="495">
        <f>+K31/J31</f>
        <v>0.62464406735396361</v>
      </c>
      <c r="G31" s="335" t="str">
        <f>+I31</f>
        <v>부산CR</v>
      </c>
      <c r="H31" s="79"/>
      <c r="I31" s="77" t="s">
        <v>125</v>
      </c>
      <c r="J31" s="53">
        <f>+IFERROR(HLOOKUP($B31,'[1]10월누계'!$D$6:$BN$259,2,),)/1000</f>
        <v>280.67184043333333</v>
      </c>
      <c r="K31" s="58">
        <f>+IFERROR(HLOOKUP($C31,'[2]10월누계'!$F$6:$CP$99,2,),)/1000</f>
        <v>175.32</v>
      </c>
      <c r="L31" s="47">
        <f t="shared" si="0"/>
        <v>-105.35184043333334</v>
      </c>
      <c r="M31" s="47">
        <f>+IFERROR(HLOOKUP($C31,'[3]10월누계'!$F$6:$CC$57,2,),)/1000</f>
        <v>354.589</v>
      </c>
      <c r="N31" s="59">
        <f t="shared" si="2"/>
        <v>-179.26900000000001</v>
      </c>
      <c r="O31" s="53">
        <f>+IFERROR(HLOOKUP($B31,'[1]10월누계'!$D$6:$BN$259,3,),)/1000</f>
        <v>4785.8577001166659</v>
      </c>
      <c r="P31" s="58">
        <f>+IFERROR(HLOOKUP($C31,'[2]10월누계'!$F$6:$CP$99,3,),)/1000</f>
        <v>3366.9103999999998</v>
      </c>
      <c r="Q31" s="47">
        <f t="shared" si="3"/>
        <v>-1418.9473001166662</v>
      </c>
      <c r="R31" s="47">
        <f>+IFERROR(HLOOKUP($C31,'[3]10월누계'!$F$6:$CC$57,3,),)/1000</f>
        <v>6404.9915000000001</v>
      </c>
      <c r="S31" s="59">
        <f t="shared" si="4"/>
        <v>-3038.0811000000003</v>
      </c>
      <c r="T31" s="53">
        <f>+IFERROR(HLOOKUP($B31,'[1]10월누계'!$D$6:$BN$259,21,),)/1000</f>
        <v>-114.12650126621483</v>
      </c>
      <c r="U31" s="58">
        <f>+IFERROR(HLOOKUP($C31,'[2]10월누계'!$F$6:$CP$99,21,),)/1000</f>
        <v>-1263.8363206599995</v>
      </c>
      <c r="V31" s="47">
        <f t="shared" si="5"/>
        <v>-1149.7098193937848</v>
      </c>
      <c r="W31" s="47">
        <f>+IFERROR(HLOOKUP($C31,'[3]10월누계'!$F$6:$CC$57,21,),)/1000</f>
        <v>-306.57644768999864</v>
      </c>
      <c r="X31" s="59">
        <f t="shared" si="6"/>
        <v>-957.25987297000086</v>
      </c>
      <c r="Y31" s="482"/>
      <c r="Z31" s="229"/>
      <c r="AA31" s="229"/>
      <c r="AB31" s="229"/>
      <c r="AC31" s="229"/>
      <c r="AD31" s="229"/>
      <c r="AE31" s="229"/>
      <c r="AF31" s="229"/>
      <c r="AG31" s="50"/>
      <c r="AH31" s="17"/>
      <c r="AI31" s="18"/>
      <c r="AJ31" s="495"/>
      <c r="AK31" s="567"/>
      <c r="AL31" s="86"/>
    </row>
    <row r="32" spans="2:38" s="3" customFormat="1" ht="22.5" customHeight="1" x14ac:dyDescent="0.3">
      <c r="F32" s="495">
        <f>+K32/J32</f>
        <v>0.66912634721230924</v>
      </c>
      <c r="G32" s="338"/>
      <c r="H32" s="134" t="s">
        <v>33</v>
      </c>
      <c r="I32" s="135"/>
      <c r="J32" s="136">
        <f>SUM(J29:J31)</f>
        <v>971.46376421753598</v>
      </c>
      <c r="K32" s="140">
        <f>SUM(K29:K31)</f>
        <v>650.03199999999993</v>
      </c>
      <c r="L32" s="138">
        <f t="shared" si="0"/>
        <v>-321.43176421753606</v>
      </c>
      <c r="M32" s="138">
        <f>SUM(M29:M31)</f>
        <v>714.30500000000006</v>
      </c>
      <c r="N32" s="139">
        <f t="shared" si="2"/>
        <v>-64.273000000000138</v>
      </c>
      <c r="O32" s="136">
        <f>SUM(O29:O31)</f>
        <v>17893.214656469969</v>
      </c>
      <c r="P32" s="140">
        <f>SUM(P29:P31)</f>
        <v>13338.194800000001</v>
      </c>
      <c r="Q32" s="138">
        <f t="shared" si="3"/>
        <v>-4555.0198564699676</v>
      </c>
      <c r="R32" s="138">
        <f>SUM(R29:R31)</f>
        <v>14375.604080000001</v>
      </c>
      <c r="S32" s="139">
        <f t="shared" si="4"/>
        <v>-1037.4092799999999</v>
      </c>
      <c r="T32" s="136">
        <f>SUM(T29:T31)</f>
        <v>1724.1757267709868</v>
      </c>
      <c r="U32" s="140">
        <f>SUM(U29:U31)</f>
        <v>-826.53304460986692</v>
      </c>
      <c r="V32" s="138">
        <f t="shared" si="5"/>
        <v>-2550.7087713808537</v>
      </c>
      <c r="W32" s="138">
        <f>SUM(W29:W31)</f>
        <v>-3.995252737350711</v>
      </c>
      <c r="X32" s="139">
        <f t="shared" si="6"/>
        <v>-822.53779187251621</v>
      </c>
      <c r="Y32" s="482"/>
      <c r="Z32" s="229"/>
      <c r="AA32" s="229"/>
      <c r="AB32" s="229"/>
      <c r="AC32" s="229"/>
      <c r="AD32" s="229"/>
      <c r="AE32" s="229"/>
      <c r="AF32" s="229"/>
      <c r="AG32" s="50"/>
      <c r="AH32" s="26"/>
      <c r="AI32" s="27"/>
      <c r="AJ32" s="495">
        <f>+P32/O32</f>
        <v>0.74543311842386417</v>
      </c>
      <c r="AK32" s="483">
        <f>+P32/R32</f>
        <v>0.92783543048161077</v>
      </c>
    </row>
    <row r="33" spans="2:38" s="8" customFormat="1" ht="22.5" customHeight="1" x14ac:dyDescent="0.3">
      <c r="B33" s="8" t="s">
        <v>119</v>
      </c>
      <c r="C33" s="8" t="s">
        <v>118</v>
      </c>
      <c r="D33" t="s">
        <v>117</v>
      </c>
      <c r="E33" t="s">
        <v>81</v>
      </c>
      <c r="F33"/>
      <c r="G33" s="334" t="str">
        <f>+I33</f>
        <v>레미콘임대</v>
      </c>
      <c r="H33" s="83" t="s">
        <v>4</v>
      </c>
      <c r="I33" s="82" t="s">
        <v>80</v>
      </c>
      <c r="J33" s="45"/>
      <c r="K33" s="46"/>
      <c r="L33" s="48">
        <f>+K33-J33</f>
        <v>0</v>
      </c>
      <c r="M33" s="47"/>
      <c r="N33" s="59">
        <f>+K33-M33</f>
        <v>0</v>
      </c>
      <c r="O33" s="45">
        <f>(IFERROR(HLOOKUP($B33,'[1]10월누계'!$D$6:$BN$259,3,),)++IFERROR(HLOOKUP($C33,'[1]10월누계'!$D$6:$BN$259,3,),)+IFERROR(HLOOKUP($D33,'[1]10월누계'!$D$6:$BN$259,3,),))/1000</f>
        <v>739.18666666666661</v>
      </c>
      <c r="P33" s="46">
        <f>+IFERROR(HLOOKUP($E33,'[2]10월누계'!$F$6:$CP$99,3,),)/1000</f>
        <v>550.9</v>
      </c>
      <c r="Q33" s="48">
        <f t="shared" si="3"/>
        <v>-188.28666666666663</v>
      </c>
      <c r="R33" s="47">
        <f>+IFERROR(HLOOKUP($E33,'[3]10월누계'!$F$6:$CC$57,3,),)/1000</f>
        <v>908.4</v>
      </c>
      <c r="S33" s="59">
        <f t="shared" si="4"/>
        <v>-357.5</v>
      </c>
      <c r="T33" s="45">
        <f>(IFERROR(HLOOKUP($B33,'[1]10월누계'!$D$6:$BN$259,21,),)++IFERROR(HLOOKUP($C33,'[1]10월누계'!$D$6:$BN$259,21,),)+IFERROR(HLOOKUP($D33,'[1]10월누계'!$D$6:$BN$259,21,),))/1000</f>
        <v>511.84963466666676</v>
      </c>
      <c r="U33" s="46">
        <f>+IFERROR(HLOOKUP($E33,'[2]10월누계'!$F$6:$CP$99,16,),)/1000</f>
        <v>301.71574299999997</v>
      </c>
      <c r="V33" s="48">
        <f t="shared" si="5"/>
        <v>-210.13389166666678</v>
      </c>
      <c r="W33" s="47">
        <f>+IFERROR(HLOOKUP($E33,'[3]10월누계'!$F$6:$CC$57,16,),)/1000</f>
        <v>627.95594499999993</v>
      </c>
      <c r="X33" s="59">
        <f t="shared" si="6"/>
        <v>-326.24020199999995</v>
      </c>
      <c r="Y33" s="479"/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  <c r="AK33" s="495"/>
    </row>
    <row r="34" spans="2:38" s="8" customFormat="1" ht="22.5" customHeight="1" x14ac:dyDescent="0.3">
      <c r="B34" s="8" t="s">
        <v>120</v>
      </c>
      <c r="C34" s="8" t="s">
        <v>121</v>
      </c>
      <c r="D34"/>
      <c r="E34" t="s">
        <v>31</v>
      </c>
      <c r="F34"/>
      <c r="G34" s="334" t="str">
        <f t="shared" ref="G34:G39" si="8">+I34</f>
        <v>임대</v>
      </c>
      <c r="H34" s="83"/>
      <c r="I34" s="82" t="s">
        <v>44</v>
      </c>
      <c r="J34" s="45"/>
      <c r="K34" s="46"/>
      <c r="L34" s="48">
        <f>+K34-J34</f>
        <v>0</v>
      </c>
      <c r="M34" s="47">
        <v>0</v>
      </c>
      <c r="N34" s="59">
        <f t="shared" ref="N34:N41" si="9">+K34-M34</f>
        <v>0</v>
      </c>
      <c r="O34" s="45">
        <f>(+IFERROR(HLOOKUP($B34,'[1]10월누계'!$D$6:$BN$259,3,),)+IFERROR(HLOOKUP($C34,'[1]10월누계'!$D$6:$BN$259,3,),))/1000</f>
        <v>742.61500000000001</v>
      </c>
      <c r="P34" s="46">
        <f>+IFERROR(HLOOKUP($E34,'[2]10월누계'!$F$6:$CP$99,3,),)/1000</f>
        <v>737.42996900000003</v>
      </c>
      <c r="Q34" s="48">
        <f>+P34-O34</f>
        <v>-5.1850309999999808</v>
      </c>
      <c r="R34" s="47">
        <f>+IFERROR(HLOOKUP($E34,'[3]10월누계'!$F$6:$CC$57,3,),)/1000</f>
        <v>730.48656200000005</v>
      </c>
      <c r="S34" s="59">
        <f t="shared" si="4"/>
        <v>6.9434069999999792</v>
      </c>
      <c r="T34" s="45">
        <f>(+IFERROR(HLOOKUP($B34,'[1]10월누계'!$D$6:$BN$259,21,),)+IFERROR(HLOOKUP($C34,'[1]10월누계'!$D$6:$BN$259,21,),))/1000</f>
        <v>679.0268319999999</v>
      </c>
      <c r="U34" s="46">
        <f>+IFERROR(HLOOKUP($E34,'[2]10월누계'!$F$6:$CP$99,16,),)/1000</f>
        <v>676.5258500000001</v>
      </c>
      <c r="V34" s="48">
        <f t="shared" si="5"/>
        <v>-2.5009819999997944</v>
      </c>
      <c r="W34" s="47">
        <f>+IFERROR(HLOOKUP($E34,'[3]10월누계'!$F$6:$CC$57,16,),)/1000</f>
        <v>667.10723100000007</v>
      </c>
      <c r="X34" s="59">
        <f t="shared" si="6"/>
        <v>9.4186190000000352</v>
      </c>
      <c r="Y34" s="266"/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  <c r="AK34" s="495"/>
    </row>
    <row r="35" spans="2:38" s="8" customFormat="1" ht="22.5" customHeight="1" x14ac:dyDescent="0.3">
      <c r="B35" s="8" t="s">
        <v>122</v>
      </c>
      <c r="D35"/>
      <c r="E35"/>
      <c r="F35"/>
      <c r="G35" s="334" t="str">
        <f t="shared" si="8"/>
        <v>공통비</v>
      </c>
      <c r="H35" s="81"/>
      <c r="I35" s="82" t="s">
        <v>29</v>
      </c>
      <c r="J35" s="45"/>
      <c r="K35" s="46"/>
      <c r="L35" s="48">
        <f>+K35-J35</f>
        <v>0</v>
      </c>
      <c r="M35" s="47"/>
      <c r="N35" s="59">
        <f t="shared" si="9"/>
        <v>0</v>
      </c>
      <c r="O35" s="45"/>
      <c r="P35" s="46"/>
      <c r="Q35" s="48">
        <f>+P35-O35</f>
        <v>0</v>
      </c>
      <c r="R35" s="47"/>
      <c r="S35" s="59">
        <f t="shared" si="4"/>
        <v>0</v>
      </c>
      <c r="T35" s="45">
        <f>-'[1]10월누계'!$Z$22/1000</f>
        <v>-15306.536384392661</v>
      </c>
      <c r="U35" s="46">
        <f>+-'[2]10월누계'!$Z$22/1000</f>
        <v>-15546.721150443844</v>
      </c>
      <c r="V35" s="48">
        <f t="shared" si="5"/>
        <v>-240.18476605118303</v>
      </c>
      <c r="W35" s="47">
        <f>+-'[3]10월누계'!$Z$22/1000</f>
        <v>-14088.417163258408</v>
      </c>
      <c r="X35" s="59">
        <f t="shared" si="6"/>
        <v>-1458.3039871854362</v>
      </c>
      <c r="Y35" s="266"/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K35" s="495"/>
      <c r="AL35" s="86"/>
    </row>
    <row r="36" spans="2:38" s="8" customFormat="1" ht="22.5" customHeight="1" x14ac:dyDescent="0.3">
      <c r="D36"/>
      <c r="E36"/>
      <c r="F36"/>
      <c r="G36" s="334" t="str">
        <f t="shared" si="8"/>
        <v>OPC 소급분</v>
      </c>
      <c r="H36" s="81"/>
      <c r="I36" s="82" t="s">
        <v>95</v>
      </c>
      <c r="J36" s="45"/>
      <c r="K36" s="46"/>
      <c r="L36" s="48"/>
      <c r="M36" s="47"/>
      <c r="N36" s="59">
        <f t="shared" si="9"/>
        <v>0</v>
      </c>
      <c r="O36" s="45"/>
      <c r="P36" s="46"/>
      <c r="Q36" s="48">
        <f>+P36-O36</f>
        <v>0</v>
      </c>
      <c r="R36" s="47"/>
      <c r="S36" s="59">
        <f t="shared" si="4"/>
        <v>0</v>
      </c>
      <c r="T36" s="45"/>
      <c r="U36" s="46">
        <f>'[2]10월누계'!$BD$26/1000</f>
        <v>497.23331999999999</v>
      </c>
      <c r="V36" s="48">
        <f t="shared" si="5"/>
        <v>497.23331999999999</v>
      </c>
      <c r="W36" s="47">
        <f>'[3]10월누계'!$BD$26/1000</f>
        <v>750</v>
      </c>
      <c r="X36" s="59">
        <f t="shared" si="6"/>
        <v>-252.76668000000001</v>
      </c>
      <c r="Y36" s="266"/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K36" s="567"/>
      <c r="AL36" s="86"/>
    </row>
    <row r="37" spans="2:38" s="8" customFormat="1" ht="22.5" customHeight="1" x14ac:dyDescent="0.3">
      <c r="D37"/>
      <c r="E37"/>
      <c r="F37"/>
      <c r="G37" s="334" t="str">
        <f t="shared" si="8"/>
        <v>대손</v>
      </c>
      <c r="H37" s="81"/>
      <c r="I37" s="82" t="s">
        <v>96</v>
      </c>
      <c r="J37" s="45"/>
      <c r="K37" s="46"/>
      <c r="L37" s="48"/>
      <c r="M37" s="47"/>
      <c r="N37" s="59">
        <f t="shared" si="9"/>
        <v>0</v>
      </c>
      <c r="O37" s="45"/>
      <c r="P37" s="46"/>
      <c r="Q37" s="48">
        <f>+P37-O37</f>
        <v>0</v>
      </c>
      <c r="R37" s="47"/>
      <c r="S37" s="59">
        <f t="shared" si="4"/>
        <v>0</v>
      </c>
      <c r="T37" s="45"/>
      <c r="U37" s="46">
        <f>'[2]10월누계'!$BE$26/1000</f>
        <v>-1243.0000719999998</v>
      </c>
      <c r="V37" s="48">
        <f t="shared" si="5"/>
        <v>-1243.0000719999998</v>
      </c>
      <c r="W37" s="47">
        <f>'[3]10월누계'!$BE$26/1000</f>
        <v>-573.85933299999999</v>
      </c>
      <c r="X37" s="59">
        <f t="shared" si="6"/>
        <v>-669.14073899999983</v>
      </c>
      <c r="Y37" s="228"/>
      <c r="Z37" s="229"/>
      <c r="AA37" s="229"/>
      <c r="AB37" s="229"/>
      <c r="AC37" s="229"/>
      <c r="AD37" s="229"/>
      <c r="AE37" s="229"/>
      <c r="AF37" s="229"/>
      <c r="AG37" s="50"/>
      <c r="AH37" s="17"/>
      <c r="AI37" s="18"/>
      <c r="AJ37" s="84"/>
      <c r="AK37" s="567"/>
      <c r="AL37" s="86"/>
    </row>
    <row r="38" spans="2:38" s="8" customFormat="1" ht="22.5" customHeight="1" x14ac:dyDescent="0.3">
      <c r="D38"/>
      <c r="E38"/>
      <c r="F38"/>
      <c r="G38" s="334" t="str">
        <f t="shared" si="8"/>
        <v>미운영 공장</v>
      </c>
      <c r="H38" s="81"/>
      <c r="I38" s="82" t="s">
        <v>112</v>
      </c>
      <c r="J38" s="45"/>
      <c r="K38" s="46"/>
      <c r="L38" s="48"/>
      <c r="M38" s="47">
        <f>SUM(M54:M59)</f>
        <v>0</v>
      </c>
      <c r="N38" s="59">
        <f t="shared" si="9"/>
        <v>0</v>
      </c>
      <c r="O38" s="45"/>
      <c r="P38" s="46"/>
      <c r="Q38" s="48">
        <f>+P38-O38</f>
        <v>0</v>
      </c>
      <c r="R38" s="47">
        <f>+IFERROR(HLOOKUP($I$38,'[3]10월누계'!$F$6:$BJ$50,3,),)/1000</f>
        <v>0</v>
      </c>
      <c r="S38" s="59">
        <f t="shared" si="4"/>
        <v>0</v>
      </c>
      <c r="T38" s="45">
        <f>SUM('[1]10월누계'!$AM$26:$AQ$26)/1000</f>
        <v>-285.29133900000005</v>
      </c>
      <c r="U38" s="46">
        <f>+'[2]10월누계'!$BF$26/1000</f>
        <v>-283.50898099999995</v>
      </c>
      <c r="V38" s="48">
        <f t="shared" si="5"/>
        <v>1.7823580000001016</v>
      </c>
      <c r="W38" s="47">
        <f>+'[3]10월누계'!$BF$26/1000</f>
        <v>-372.14426899999995</v>
      </c>
      <c r="X38" s="59">
        <f>+U38-W38</f>
        <v>88.635288000000003</v>
      </c>
      <c r="Y38" s="479"/>
      <c r="Z38" s="491"/>
      <c r="AA38" s="229"/>
      <c r="AB38" s="229"/>
      <c r="AC38" s="229"/>
      <c r="AD38" s="229"/>
      <c r="AE38" s="229"/>
      <c r="AF38" s="229"/>
      <c r="AG38" s="50"/>
      <c r="AH38" s="17"/>
      <c r="AI38" s="18"/>
      <c r="AK38" s="567"/>
      <c r="AL38" s="86"/>
    </row>
    <row r="39" spans="2:38" s="8" customFormat="1" ht="22.5" customHeight="1" x14ac:dyDescent="0.3">
      <c r="B39" t="s">
        <v>30</v>
      </c>
      <c r="D39"/>
      <c r="G39" s="334" t="str">
        <f t="shared" si="8"/>
        <v>퇴직위로금</v>
      </c>
      <c r="H39" s="81"/>
      <c r="I39" s="82" t="s">
        <v>162</v>
      </c>
      <c r="J39" s="45"/>
      <c r="K39" s="46"/>
      <c r="L39" s="48"/>
      <c r="M39" s="47"/>
      <c r="N39" s="59"/>
      <c r="O39" s="45"/>
      <c r="P39" s="46"/>
      <c r="Q39" s="48"/>
      <c r="R39" s="47"/>
      <c r="S39" s="59"/>
      <c r="T39" s="45"/>
      <c r="U39" s="46">
        <f>+'[2]10월누계'!$BG$26/1000</f>
        <v>-759.34318890999998</v>
      </c>
      <c r="V39" s="48">
        <f t="shared" si="5"/>
        <v>-759.34318890999998</v>
      </c>
      <c r="W39" s="47"/>
      <c r="X39" s="59">
        <f>+U39-W39</f>
        <v>-759.34318890999998</v>
      </c>
      <c r="Y39" s="266"/>
      <c r="Z39" s="229"/>
      <c r="AA39" s="229"/>
      <c r="AB39" s="229"/>
      <c r="AC39" s="229"/>
      <c r="AD39" s="229"/>
      <c r="AE39" s="229"/>
      <c r="AF39" s="229"/>
      <c r="AG39" s="50"/>
      <c r="AH39" s="17"/>
      <c r="AI39" s="18"/>
      <c r="AK39" s="495"/>
    </row>
    <row r="40" spans="2:38" s="8" customFormat="1" ht="22.5" customHeight="1" x14ac:dyDescent="0.3">
      <c r="G40" s="334" t="str">
        <f>+I40</f>
        <v>기타</v>
      </c>
      <c r="H40" s="81"/>
      <c r="I40" s="82" t="s">
        <v>4</v>
      </c>
      <c r="J40" s="45"/>
      <c r="K40" s="46"/>
      <c r="L40" s="54">
        <f>+K40-J40</f>
        <v>0</v>
      </c>
      <c r="M40" s="60"/>
      <c r="N40" s="61">
        <f>+K40-M40</f>
        <v>0</v>
      </c>
      <c r="O40" s="45">
        <f>IFERROR(HLOOKUP($B39,'[1]10월누계'!$D$6:$BN$259,3,),)/1000</f>
        <v>17.7</v>
      </c>
      <c r="P40" s="46">
        <f>+('[2]10월누계'!$F$8-SUM('[2]10월누계'!$Z$8,'[2]10월누계'!$AH$8,'[2]10월누계'!$AN$8,'[2]10월누계'!$AO$8,'[2]10월누계'!$BA$8,'[2]10월누계'!$BD$8,'[2]10월누계'!$BE$8,'[2]10월누계'!$BF$8))/1000</f>
        <v>16.834449999988077</v>
      </c>
      <c r="Q40" s="54">
        <f>+P40-O40</f>
        <v>-0.86555000001192184</v>
      </c>
      <c r="R40" s="60">
        <f>+('[3]10월누계'!$F$8-SUM('[3]10월누계'!$Z$8,'[3]10월누계'!$AH$8,'[3]10월누계'!$AN$8,'[3]10월누계'!$AO$8,'[3]10월누계'!$BA$8,'[3]10월누계'!$BD$8,'[3]10월누계'!$BE$8,'[3]10월누계'!$BF$8))/1000</f>
        <v>17.484399999976159</v>
      </c>
      <c r="S40" s="61">
        <f>+P40-R40</f>
        <v>-0.64994999998808112</v>
      </c>
      <c r="T40" s="45">
        <f>+('[1]10월누계'!$E$26-'[1]10월누계'!$Z$26-'[1]10월누계'!$AA$26-'[1]10월누계'!$AE$26-'[1]10월누계'!$AL$26-'[1]10월누계'!$AM$26-'[1]10월누계'!$AN$26-'[1]10월누계'!$AO$26-'[1]10월누계'!$AP$26-'[1]10월누계'!$AQ$26-'[1]10월누계'!$AS$26)/1000+'[1]10월누계'!$AS$26/1000</f>
        <v>-684.84502699998438</v>
      </c>
      <c r="U40" s="46">
        <f>+('[2]10월누계'!$F$26-SUM('[2]10월누계'!$Z$26,'[2]10월누계'!$AH$26,'[2]10월누계'!$AN$26,'[2]10월누계'!$AO$26,'[2]10월누계'!$BA$26,'[2]10월누계'!$BD$26,'[2]10월누계'!$BE$26,'[2]10월누계'!$BF$26))/1000-U39</f>
        <v>-79.664822000014624</v>
      </c>
      <c r="V40" s="48">
        <f>+U40-T40</f>
        <v>605.18020499996976</v>
      </c>
      <c r="W40" s="60">
        <f>+('[3]10월누계'!$F$26-SUM('[3]10월누계'!$Z$26,'[3]10월누계'!$AH$26,'[3]10월누계'!$AN$26,'[3]10월누계'!$AO$26,'[3]10월누계'!$BA$26,'[3]10월누계'!$BD$26,'[3]10월누계'!$BE$26,'[3]10월누계'!$BF$26))/1000</f>
        <v>-216.18682200004534</v>
      </c>
      <c r="X40" s="59">
        <f>+U40-W40</f>
        <v>136.52200000003072</v>
      </c>
      <c r="Y40" s="228"/>
      <c r="Z40" s="229"/>
      <c r="AA40" s="229"/>
      <c r="AB40" s="229"/>
      <c r="AC40" s="229"/>
      <c r="AD40" s="229"/>
      <c r="AE40" s="229"/>
      <c r="AF40" s="229"/>
      <c r="AG40" s="50"/>
      <c r="AH40" s="30"/>
      <c r="AK40" s="495"/>
    </row>
    <row r="41" spans="2:38" s="3" customFormat="1" ht="22.5" customHeight="1" x14ac:dyDescent="0.3">
      <c r="D41" s="293"/>
      <c r="G41" s="338"/>
      <c r="H41" s="134" t="s">
        <v>97</v>
      </c>
      <c r="I41" s="135"/>
      <c r="J41" s="284">
        <f>SUM(J33:J40)</f>
        <v>0</v>
      </c>
      <c r="K41" s="285">
        <f>SUM(K33:K40)</f>
        <v>0</v>
      </c>
      <c r="L41" s="285">
        <f>+K41-J41</f>
        <v>0</v>
      </c>
      <c r="M41" s="285">
        <f>SUM(M33:M40)</f>
        <v>0</v>
      </c>
      <c r="N41" s="286">
        <f t="shared" si="9"/>
        <v>0</v>
      </c>
      <c r="O41" s="136">
        <f>SUM(O33:O40)</f>
        <v>1499.5016666666668</v>
      </c>
      <c r="P41" s="137">
        <f>SUM(P33:P40)</f>
        <v>1305.1644189999879</v>
      </c>
      <c r="Q41" s="141">
        <f t="shared" si="3"/>
        <v>-194.33724766667888</v>
      </c>
      <c r="R41" s="142">
        <f>SUM(R33:R40)</f>
        <v>1656.3709619999763</v>
      </c>
      <c r="S41" s="143">
        <f>+P41-R41</f>
        <v>-351.20654299998841</v>
      </c>
      <c r="T41" s="136">
        <f>SUM(T33:T40)</f>
        <v>-15085.796283725978</v>
      </c>
      <c r="U41" s="137">
        <f>SUM(U33:U40)</f>
        <v>-16436.763301353854</v>
      </c>
      <c r="V41" s="141">
        <f>+U41-T41</f>
        <v>-1350.967017627876</v>
      </c>
      <c r="W41" s="142">
        <f>SUM(W33:W40)</f>
        <v>-13205.544411258454</v>
      </c>
      <c r="X41" s="143">
        <f>+U41-W41</f>
        <v>-3231.2188900954006</v>
      </c>
      <c r="Y41" s="230"/>
      <c r="Z41" s="231"/>
      <c r="AA41" s="231"/>
      <c r="AB41" s="231"/>
      <c r="AC41" s="231"/>
      <c r="AD41" s="231"/>
      <c r="AE41" s="231"/>
      <c r="AF41" s="231"/>
      <c r="AG41" s="232"/>
      <c r="AH41" s="25"/>
      <c r="AJ41" s="495">
        <f>+P41/O41</f>
        <v>0.87039877848306568</v>
      </c>
      <c r="AK41" s="483">
        <f>+P41/R41</f>
        <v>0.78796625209130333</v>
      </c>
    </row>
    <row r="42" spans="2:38" s="8" customFormat="1" ht="15" customHeight="1" x14ac:dyDescent="0.3">
      <c r="G42" s="334"/>
      <c r="J42" s="32"/>
      <c r="K42" s="32"/>
      <c r="L42" s="31"/>
      <c r="M42" s="31"/>
      <c r="N42" s="31"/>
      <c r="O42" s="32"/>
      <c r="P42" s="32"/>
      <c r="Q42" s="31"/>
      <c r="R42" s="31"/>
      <c r="S42" s="31"/>
      <c r="T42" s="32"/>
      <c r="U42" s="32">
        <v>19</v>
      </c>
      <c r="V42" s="31">
        <v>12.4</v>
      </c>
      <c r="W42" s="31"/>
      <c r="X42" s="31"/>
      <c r="Y42" s="32"/>
      <c r="Z42" s="32"/>
      <c r="AA42" s="32"/>
      <c r="AB42" s="32"/>
      <c r="AC42" s="32"/>
      <c r="AD42" s="32"/>
      <c r="AE42" s="32"/>
      <c r="AF42" s="32"/>
      <c r="AG42" s="32"/>
      <c r="AH42" s="30"/>
      <c r="AK42" s="495"/>
    </row>
    <row r="43" spans="2:38" s="3" customFormat="1" ht="22.5" customHeight="1" x14ac:dyDescent="0.3">
      <c r="G43" s="339">
        <f>+P43/O43</f>
        <v>0.78592138829350433</v>
      </c>
      <c r="H43" s="277" t="s">
        <v>32</v>
      </c>
      <c r="I43" s="278"/>
      <c r="J43" s="290"/>
      <c r="K43" s="291"/>
      <c r="L43" s="291"/>
      <c r="M43" s="291"/>
      <c r="N43" s="292"/>
      <c r="O43" s="279">
        <f>+O27+O32+O28+O41</f>
        <v>415394.14026492939</v>
      </c>
      <c r="P43" s="280">
        <f>+P27+P32+P28+P41</f>
        <v>326467.13940599997</v>
      </c>
      <c r="Q43" s="281">
        <f t="shared" si="3"/>
        <v>-88927.000858929416</v>
      </c>
      <c r="R43" s="282">
        <f>+R27+R32+R28+R41</f>
        <v>386965.91208100005</v>
      </c>
      <c r="S43" s="283">
        <f>+P43-R43</f>
        <v>-60498.772675000073</v>
      </c>
      <c r="T43" s="279">
        <f>+T27+T32+T28+T41</f>
        <v>14183.988957639986</v>
      </c>
      <c r="U43" s="280">
        <f>+U27+U32+U28+U41</f>
        <v>-6147.7137389437321</v>
      </c>
      <c r="V43" s="281">
        <f>+U43-T43</f>
        <v>-20331.702696583718</v>
      </c>
      <c r="W43" s="282">
        <f>+W27+W32+W28+W41</f>
        <v>17547.100771014208</v>
      </c>
      <c r="X43" s="283">
        <f>+U43-W43</f>
        <v>-23694.814509957941</v>
      </c>
      <c r="Y43" s="608"/>
      <c r="Z43" s="609"/>
      <c r="AA43" s="609"/>
      <c r="AB43" s="609"/>
      <c r="AC43" s="609"/>
      <c r="AD43" s="609"/>
      <c r="AE43" s="609"/>
      <c r="AF43" s="609"/>
      <c r="AG43" s="610"/>
      <c r="AH43" s="25"/>
      <c r="AJ43" s="495">
        <f>+P43/O43</f>
        <v>0.78592138829350433</v>
      </c>
      <c r="AK43" s="483">
        <f>+P43/R43</f>
        <v>0.8436586510949925</v>
      </c>
    </row>
    <row r="44" spans="2:38" s="33" customFormat="1" x14ac:dyDescent="0.3">
      <c r="G44" s="336">
        <f>+U43/T43</f>
        <v>-0.43342629194817311</v>
      </c>
      <c r="K44" s="295">
        <f>+K28/J28</f>
        <v>0.81813649687220735</v>
      </c>
      <c r="L44" s="295"/>
      <c r="M44" s="295">
        <f>+K28/M28</f>
        <v>1.0530268732621795</v>
      </c>
      <c r="P44" s="295">
        <f>+P43/O43</f>
        <v>0.78592138829350433</v>
      </c>
      <c r="R44" s="295">
        <f>+P43/R43</f>
        <v>0.8436586510949925</v>
      </c>
      <c r="T44" s="295">
        <f>+T43/O43</f>
        <v>3.4145857109572478E-2</v>
      </c>
      <c r="U44" s="295">
        <f>+U43/P43</f>
        <v>-1.8831033806738916E-2</v>
      </c>
      <c r="V44" s="33">
        <f>+V43/100</f>
        <v>-203.31702696583719</v>
      </c>
      <c r="X44" s="33">
        <f>+X43/100</f>
        <v>-236.94814509957942</v>
      </c>
      <c r="AC44" s="34"/>
      <c r="AF44" s="34"/>
      <c r="AK44" s="3"/>
    </row>
    <row r="45" spans="2:38" s="33" customFormat="1" ht="17.25" thickBot="1" x14ac:dyDescent="0.35">
      <c r="G45" s="340"/>
      <c r="K45" s="295">
        <f>+K32/J32</f>
        <v>0.66912634721230924</v>
      </c>
      <c r="L45" s="295"/>
      <c r="M45" s="295">
        <f>+K32/M32</f>
        <v>0.91002022945380456</v>
      </c>
      <c r="AC45" s="34"/>
      <c r="AF45" s="34"/>
    </row>
    <row r="46" spans="2:38" s="33" customFormat="1" x14ac:dyDescent="0.3">
      <c r="G46" s="340"/>
      <c r="I46" s="605" t="s">
        <v>82</v>
      </c>
      <c r="J46" s="126">
        <f>+'[1]10월누계'!$Z$7/1000</f>
        <v>2714.5</v>
      </c>
      <c r="K46" s="127">
        <f>+'[2]10월누계'!$AI$7/1000</f>
        <v>2318.6968200000001</v>
      </c>
      <c r="L46" s="127"/>
      <c r="M46" s="127">
        <f>+'[3]10월누계'!$Z$7/1000</f>
        <v>2825.2705000000001</v>
      </c>
      <c r="N46" s="127"/>
      <c r="O46" s="127">
        <f>+'[1]10월누계'!$E$8/1000</f>
        <v>415394.14026492933</v>
      </c>
      <c r="P46" s="127">
        <f>+'[2]10월누계'!$F$8/1000</f>
        <v>326467.13940599997</v>
      </c>
      <c r="Q46" s="127"/>
      <c r="R46" s="127">
        <f>+'[3]10월누계'!$F$8/1000</f>
        <v>386965.91208099993</v>
      </c>
      <c r="S46" s="127"/>
      <c r="T46" s="132">
        <f>+'[1]10월누계'!$E$26/1000</f>
        <v>14183.988957639955</v>
      </c>
      <c r="U46" s="127">
        <f>+'[2]10월누계'!$F$26/1000</f>
        <v>-6147.7137389437366</v>
      </c>
      <c r="V46" s="127"/>
      <c r="W46" s="127">
        <f>+'[3]10월누계'!$F$26/1000</f>
        <v>17547.100771014197</v>
      </c>
      <c r="X46" s="128"/>
      <c r="AC46" s="34"/>
      <c r="AF46" s="34"/>
    </row>
    <row r="47" spans="2:38" s="33" customFormat="1" ht="17.25" thickBot="1" x14ac:dyDescent="0.35">
      <c r="G47" s="340"/>
      <c r="I47" s="605"/>
      <c r="J47" s="131">
        <f>+J46-J27</f>
        <v>0</v>
      </c>
      <c r="K47" s="129">
        <f>+K46-K27</f>
        <v>0</v>
      </c>
      <c r="L47" s="129"/>
      <c r="M47" s="129">
        <f>+M46-M27</f>
        <v>0</v>
      </c>
      <c r="N47" s="129"/>
      <c r="O47" s="133">
        <f>+O46-O43</f>
        <v>0</v>
      </c>
      <c r="P47" s="133">
        <f>+P46-P43</f>
        <v>0</v>
      </c>
      <c r="Q47" s="129"/>
      <c r="R47" s="133">
        <f>+R46-R43</f>
        <v>0</v>
      </c>
      <c r="S47" s="129"/>
      <c r="T47" s="133">
        <f>+T46-T43</f>
        <v>-3.092281986027956E-11</v>
      </c>
      <c r="U47" s="133">
        <f>+U46-U43</f>
        <v>0</v>
      </c>
      <c r="V47" s="129"/>
      <c r="W47" s="129">
        <f>+W46-W43</f>
        <v>0</v>
      </c>
      <c r="X47" s="130"/>
      <c r="AC47" s="34"/>
      <c r="AF47" s="34"/>
      <c r="AG47" s="33" t="s">
        <v>83</v>
      </c>
    </row>
    <row r="48" spans="2:38" x14ac:dyDescent="0.3">
      <c r="T48" s="294"/>
      <c r="U48" s="294"/>
      <c r="V48" s="294"/>
    </row>
    <row r="49" spans="10:33" x14ac:dyDescent="0.3">
      <c r="O49" s="492">
        <f>+O43-O28</f>
        <v>293210.66278012941</v>
      </c>
      <c r="P49" s="492">
        <f>+P43-P28</f>
        <v>242645.772902</v>
      </c>
      <c r="Q49" s="492">
        <f>+P49-O49</f>
        <v>-50564.889878129412</v>
      </c>
      <c r="T49" s="294"/>
      <c r="U49" s="294"/>
      <c r="V49" s="294"/>
      <c r="AC49" s="34"/>
      <c r="AD49" s="33"/>
      <c r="AE49" s="33"/>
      <c r="AF49" s="34"/>
    </row>
    <row r="50" spans="10:33" x14ac:dyDescent="0.3">
      <c r="O50" s="492">
        <f>+O49/100</f>
        <v>2932.1066278012941</v>
      </c>
      <c r="P50" s="492">
        <f>+P49/100</f>
        <v>2426.45772902</v>
      </c>
      <c r="Q50" s="492">
        <f>+P50-O50</f>
        <v>-505.64889878129406</v>
      </c>
      <c r="S50" t="s">
        <v>40</v>
      </c>
      <c r="T50" s="236">
        <f>(+T27+T35)/100</f>
        <v>102.23840482826978</v>
      </c>
      <c r="U50" s="236">
        <f>(+U27+U35)/100</f>
        <v>-43.543884094238365</v>
      </c>
      <c r="V50" s="236">
        <f>+U50-T50</f>
        <v>-145.78228892250814</v>
      </c>
      <c r="W50" s="235">
        <f>+U50/T50-1</f>
        <v>-1.4259053549141263</v>
      </c>
      <c r="AC50" s="34"/>
      <c r="AD50" s="33"/>
      <c r="AE50" s="33"/>
      <c r="AF50" s="34"/>
    </row>
    <row r="51" spans="10:33" x14ac:dyDescent="0.3">
      <c r="Q51" s="235">
        <f>+P50/O50</f>
        <v>0.82754757484366581</v>
      </c>
      <c r="S51" t="s">
        <v>1</v>
      </c>
      <c r="T51" s="6">
        <f>+T32/100</f>
        <v>17.241757267709868</v>
      </c>
      <c r="U51" s="6">
        <f>+U32/100</f>
        <v>-8.2653304460986696</v>
      </c>
      <c r="V51" s="236">
        <f>+U51-T51</f>
        <v>-25.507087713808538</v>
      </c>
      <c r="Y51" s="228" t="s">
        <v>214</v>
      </c>
      <c r="AC51" s="34"/>
      <c r="AD51" s="33"/>
      <c r="AE51" s="33"/>
      <c r="AF51" s="34"/>
    </row>
    <row r="52" spans="10:33" x14ac:dyDescent="0.3">
      <c r="S52" t="s">
        <v>44</v>
      </c>
      <c r="T52" s="6">
        <f>(T33+T34)/100</f>
        <v>11.908764666666666</v>
      </c>
      <c r="U52" s="6">
        <f>(U33+U34)/100</f>
        <v>9.7824159300000009</v>
      </c>
      <c r="V52" s="294">
        <f>+U52-T52</f>
        <v>-2.1263487366666656</v>
      </c>
      <c r="AC52" s="34"/>
      <c r="AD52" s="33"/>
      <c r="AE52" s="33"/>
      <c r="AF52" s="34"/>
    </row>
    <row r="53" spans="10:33" x14ac:dyDescent="0.3">
      <c r="S53" s="236" t="s">
        <v>4</v>
      </c>
      <c r="T53" s="236">
        <f>((T46-T28)/100)-T50-T51-T52</f>
        <v>-9.7013636600001476</v>
      </c>
      <c r="U53" s="236">
        <f>((U46-U28)/100)-U50-U51-U52</f>
        <v>-18.682837439100155</v>
      </c>
      <c r="V53" s="236">
        <f>+U53-T53</f>
        <v>-8.981473779100007</v>
      </c>
      <c r="AC53" s="34"/>
      <c r="AD53" s="33"/>
      <c r="AE53" s="33"/>
      <c r="AF53" s="34"/>
    </row>
    <row r="54" spans="10:33" x14ac:dyDescent="0.3"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>
        <f>SUM(T52:T53)</f>
        <v>2.2074010066665188</v>
      </c>
      <c r="U54" s="236">
        <f>SUM(U52:U53)</f>
        <v>-8.9004215091001537</v>
      </c>
      <c r="V54" s="236">
        <f>SUM(V52:V53)</f>
        <v>-11.107822515766673</v>
      </c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</row>
    <row r="55" spans="10:33" x14ac:dyDescent="0.3"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>
        <f>SUM(T50:T53)</f>
        <v>121.68756310264618</v>
      </c>
      <c r="U55" s="236">
        <f>SUM(U50:U53)</f>
        <v>-60.709636049437194</v>
      </c>
      <c r="V55" s="236">
        <f>+U55-T55</f>
        <v>-182.39719915208337</v>
      </c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</row>
    <row r="56" spans="10:33" x14ac:dyDescent="0.3"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</row>
    <row r="57" spans="10:33" x14ac:dyDescent="0.3">
      <c r="J57" s="236">
        <f>+J32*1000</f>
        <v>971463.76421753597</v>
      </c>
      <c r="K57" s="236">
        <f>+K32*1000</f>
        <v>650031.99999999988</v>
      </c>
      <c r="L57" s="236">
        <f>+K57-J57</f>
        <v>-321431.76421753608</v>
      </c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</row>
    <row r="58" spans="10:33" x14ac:dyDescent="0.3">
      <c r="J58" s="294">
        <f>+T32/100</f>
        <v>17.241757267709868</v>
      </c>
      <c r="K58" s="294">
        <f>+U32/100</f>
        <v>-8.2653304460986696</v>
      </c>
      <c r="L58" s="294">
        <f>+K58-J58</f>
        <v>-25.507087713808538</v>
      </c>
      <c r="M58" s="236"/>
      <c r="N58" s="236"/>
      <c r="O58" s="236"/>
      <c r="P58" s="236"/>
      <c r="Q58" s="236"/>
      <c r="R58" s="236"/>
      <c r="S58" s="236" t="s">
        <v>44</v>
      </c>
      <c r="T58" s="294">
        <f>+(T33+T34)/100</f>
        <v>11.908764666666666</v>
      </c>
      <c r="U58" s="294">
        <f>+(U33+U34)/100</f>
        <v>9.7824159300000009</v>
      </c>
      <c r="V58" s="236">
        <f>+U58-T58</f>
        <v>-2.1263487366666656</v>
      </c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</row>
    <row r="59" spans="10:33" x14ac:dyDescent="0.3">
      <c r="J59" s="236"/>
      <c r="K59" s="236"/>
      <c r="L59" s="236"/>
      <c r="M59" s="236"/>
      <c r="N59" s="236"/>
      <c r="O59" s="236"/>
      <c r="P59" s="236"/>
      <c r="Q59" s="236"/>
      <c r="R59" s="236"/>
      <c r="S59" s="236" t="str">
        <f>+I36</f>
        <v>OPC 소급분</v>
      </c>
      <c r="T59" s="236">
        <f t="shared" ref="T59:U61" si="10">+T36/100</f>
        <v>0</v>
      </c>
      <c r="U59" s="236">
        <f t="shared" si="10"/>
        <v>4.9723331999999996</v>
      </c>
      <c r="V59" s="236">
        <f>+U59-T59</f>
        <v>4.9723331999999996</v>
      </c>
      <c r="W59" s="236"/>
      <c r="X59" s="236"/>
      <c r="Y59" s="236"/>
      <c r="Z59" s="236"/>
      <c r="AA59" s="236"/>
      <c r="AB59" s="236"/>
      <c r="AC59" s="236"/>
      <c r="AD59" s="236"/>
      <c r="AE59" s="236"/>
      <c r="AF59" s="236"/>
      <c r="AG59" s="236"/>
    </row>
    <row r="60" spans="10:33" x14ac:dyDescent="0.3">
      <c r="S60" s="236" t="str">
        <f>+I37</f>
        <v>대손</v>
      </c>
      <c r="T60" s="236">
        <f t="shared" si="10"/>
        <v>0</v>
      </c>
      <c r="U60" s="236">
        <f t="shared" si="10"/>
        <v>-12.430000719999999</v>
      </c>
      <c r="V60" s="236">
        <f>+U60-T60</f>
        <v>-12.430000719999999</v>
      </c>
      <c r="AC60" s="236"/>
      <c r="AD60" s="236"/>
      <c r="AE60" s="236"/>
      <c r="AF60" s="236"/>
    </row>
    <row r="61" spans="10:33" x14ac:dyDescent="0.3">
      <c r="S61" s="236" t="str">
        <f>+I38</f>
        <v>미운영 공장</v>
      </c>
      <c r="T61" s="236">
        <f t="shared" si="10"/>
        <v>-2.8529133900000003</v>
      </c>
      <c r="U61" s="236">
        <f t="shared" si="10"/>
        <v>-2.8350898099999995</v>
      </c>
      <c r="V61" s="236">
        <f>+U61-T61</f>
        <v>1.7823580000000838E-2</v>
      </c>
      <c r="AC61" s="236"/>
      <c r="AD61" s="236"/>
      <c r="AE61" s="236"/>
    </row>
    <row r="62" spans="10:33" x14ac:dyDescent="0.3">
      <c r="S62" s="236" t="str">
        <f>+I40</f>
        <v>기타</v>
      </c>
      <c r="T62" s="236">
        <f>+T40/100</f>
        <v>-6.8484502699998435</v>
      </c>
      <c r="U62" s="236">
        <f>+U40/100</f>
        <v>-0.79664822000014623</v>
      </c>
      <c r="V62" s="236">
        <f>+U62-T62</f>
        <v>6.0518020499996972</v>
      </c>
      <c r="AC62" s="236"/>
      <c r="AD62" s="236"/>
      <c r="AE62" s="236"/>
    </row>
    <row r="63" spans="10:33" x14ac:dyDescent="0.3">
      <c r="T63" s="6">
        <f>SUM(T58:T62)</f>
        <v>2.2074010066668217</v>
      </c>
      <c r="U63" s="6">
        <f>SUM(U58:U62)</f>
        <v>-1.3069896200001443</v>
      </c>
      <c r="V63" s="6">
        <f>SUM(V58:V62)</f>
        <v>-3.514390626666966</v>
      </c>
      <c r="AC63" s="236"/>
      <c r="AE63" s="236"/>
    </row>
    <row r="64" spans="10:33" x14ac:dyDescent="0.3">
      <c r="AC64" s="236"/>
      <c r="AE64" s="236"/>
    </row>
    <row r="65" spans="20:31" x14ac:dyDescent="0.3">
      <c r="AC65" s="236"/>
      <c r="AE65" s="236"/>
    </row>
    <row r="66" spans="20:31" x14ac:dyDescent="0.3">
      <c r="AC66" s="236"/>
      <c r="AE66" s="236"/>
    </row>
    <row r="67" spans="20:31" x14ac:dyDescent="0.3">
      <c r="AC67" s="236"/>
      <c r="AE67" s="236"/>
    </row>
    <row r="68" spans="20:31" x14ac:dyDescent="0.3">
      <c r="AC68" s="236"/>
      <c r="AE68" s="236"/>
    </row>
    <row r="69" spans="20:31" x14ac:dyDescent="0.3">
      <c r="T69" s="6">
        <f>SUM(T33:T34,T36,T38:T39,T40,Y37)</f>
        <v>220.74010066668211</v>
      </c>
      <c r="U69" s="6">
        <f>SUM(U33:U34,U36,U38:U39,U40,Z37)</f>
        <v>352.95792108998546</v>
      </c>
      <c r="V69" s="6">
        <f>+U69-T69</f>
        <v>132.21782042330335</v>
      </c>
      <c r="AC69" s="236"/>
      <c r="AE69" s="236"/>
    </row>
    <row r="70" spans="20:31" x14ac:dyDescent="0.3">
      <c r="AC70" s="236"/>
      <c r="AE70" s="236"/>
    </row>
    <row r="71" spans="20:31" x14ac:dyDescent="0.3">
      <c r="T71" s="492">
        <f>+T43-T28</f>
        <v>12168.756310264649</v>
      </c>
      <c r="U71" s="492">
        <f>+U43-U28</f>
        <v>-6070.963604943714</v>
      </c>
      <c r="V71" s="492">
        <f>+U71-T71</f>
        <v>-18239.719915208363</v>
      </c>
      <c r="AC71" s="236"/>
      <c r="AE71" s="236"/>
    </row>
    <row r="72" spans="20:31" x14ac:dyDescent="0.3">
      <c r="T72" s="492">
        <f>+T71/100</f>
        <v>121.68756310264649</v>
      </c>
      <c r="U72" s="492">
        <f>+U71/100</f>
        <v>-60.709636049437137</v>
      </c>
      <c r="V72" s="492">
        <f>+U72-T72</f>
        <v>-182.39719915208363</v>
      </c>
      <c r="AC72" s="236"/>
      <c r="AE72" s="236"/>
    </row>
    <row r="73" spans="20:31" x14ac:dyDescent="0.3">
      <c r="AC73" s="236"/>
      <c r="AE73" s="236"/>
    </row>
    <row r="74" spans="20:31" x14ac:dyDescent="0.3">
      <c r="AC74" s="236"/>
      <c r="AE74" s="236"/>
    </row>
    <row r="75" spans="20:31" x14ac:dyDescent="0.3">
      <c r="U75" s="492">
        <f>+U71-U37-U39</f>
        <v>-4068.620344033714</v>
      </c>
      <c r="AC75" s="236"/>
      <c r="AE75" s="236"/>
    </row>
    <row r="76" spans="20:31" x14ac:dyDescent="0.3">
      <c r="U76" s="492">
        <f>+U75/100</f>
        <v>-40.686203440337138</v>
      </c>
      <c r="AC76" s="236"/>
      <c r="AE76" s="236"/>
    </row>
    <row r="77" spans="20:31" x14ac:dyDescent="0.3">
      <c r="AC77" s="236"/>
      <c r="AE77" s="236"/>
    </row>
    <row r="78" spans="20:31" x14ac:dyDescent="0.3">
      <c r="AC78" s="236"/>
    </row>
  </sheetData>
  <mergeCells count="4">
    <mergeCell ref="H5:I6"/>
    <mergeCell ref="H28:I28"/>
    <mergeCell ref="Y43:AG43"/>
    <mergeCell ref="I46:I47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6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2048-9796-4FE9-85E5-BA6F10045AB3}">
  <sheetPr>
    <tabColor theme="1" tint="0.34998626667073579"/>
    <pageSetUpPr fitToPage="1"/>
  </sheetPr>
  <dimension ref="A1:AQ77"/>
  <sheetViews>
    <sheetView showGridLines="0" showZeros="0" topLeftCell="E19" zoomScale="85" zoomScaleNormal="85" zoomScaleSheetLayoutView="85" workbookViewId="0">
      <selection activeCell="T34" sqref="T34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12.125" bestFit="1" customWidth="1"/>
    <col min="37" max="37" width="13.625" bestFit="1" customWidth="1"/>
    <col min="38" max="38" width="9.25" bestFit="1" customWidth="1"/>
    <col min="39" max="39" width="8.25" customWidth="1"/>
    <col min="41" max="41" width="13.25" bestFit="1" customWidth="1"/>
    <col min="42" max="43" width="9.875" bestFit="1" customWidth="1"/>
  </cols>
  <sheetData>
    <row r="1" spans="1:39" ht="18" customHeight="1" x14ac:dyDescent="0.3">
      <c r="H1" s="4"/>
      <c r="K1" s="6"/>
      <c r="L1" s="6"/>
      <c r="P1" s="6"/>
      <c r="Q1" s="6"/>
    </row>
    <row r="2" spans="1:39" ht="18" customHeight="1" x14ac:dyDescent="0.3">
      <c r="H2" s="7"/>
      <c r="AD2" s="5"/>
      <c r="AG2" s="5"/>
    </row>
    <row r="3" spans="1:39" ht="26.25" x14ac:dyDescent="0.3">
      <c r="H3" s="4" t="s">
        <v>222</v>
      </c>
      <c r="AD3" s="5"/>
      <c r="AG3" s="5"/>
    </row>
    <row r="4" spans="1:39" ht="18" customHeight="1" x14ac:dyDescent="0.3">
      <c r="H4" s="7"/>
      <c r="AD4" s="5"/>
      <c r="AG4" s="5" t="s">
        <v>77</v>
      </c>
    </row>
    <row r="5" spans="1:39" s="8" customFormat="1" ht="19.5" customHeight="1" x14ac:dyDescent="0.3">
      <c r="G5" s="334"/>
      <c r="H5" s="602" t="s">
        <v>11</v>
      </c>
      <c r="I5" s="603"/>
      <c r="J5" s="158" t="s">
        <v>0</v>
      </c>
      <c r="K5" s="159"/>
      <c r="L5" s="159"/>
      <c r="M5" s="159"/>
      <c r="N5" s="160"/>
      <c r="O5" s="158" t="s">
        <v>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9" s="8" customFormat="1" ht="19.5" customHeight="1" x14ac:dyDescent="0.3">
      <c r="A6" s="8" t="s">
        <v>212</v>
      </c>
      <c r="G6" s="334"/>
      <c r="H6" s="604"/>
      <c r="I6" s="601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9" s="8" customFormat="1" ht="22.5" customHeight="1" x14ac:dyDescent="0.3">
      <c r="B7" s="8" t="s">
        <v>18</v>
      </c>
      <c r="F7" s="495">
        <f>+K7/J7</f>
        <v>0.82888571428571423</v>
      </c>
      <c r="G7" s="335" t="str">
        <f>+I7</f>
        <v>안양</v>
      </c>
      <c r="H7" s="72" t="s">
        <v>40</v>
      </c>
      <c r="I7" s="73" t="s">
        <v>18</v>
      </c>
      <c r="J7" s="35">
        <f>+IFERROR(HLOOKUP($B7,'[1]10월'!$D$6:$BN$259,2,),)/1000</f>
        <v>35</v>
      </c>
      <c r="K7" s="36">
        <f>+IFERROR(HLOOKUP($B7,'[2]10월'!$F$6:$CP$99,2,),)/1000</f>
        <v>29.010999999999999</v>
      </c>
      <c r="L7" s="37">
        <f t="shared" ref="L7:L31" si="0">+K7-J7</f>
        <v>-5.9890000000000008</v>
      </c>
      <c r="M7" s="38">
        <f>+IFERROR(HLOOKUP($B7,'[3]10월'!$F$6:$CC$57,2,),)/1000</f>
        <v>39.055</v>
      </c>
      <c r="N7" s="39">
        <f>+K7-M7</f>
        <v>-10.044</v>
      </c>
      <c r="O7" s="35">
        <f>+IFERROR(HLOOKUP($B7,'[1]10월'!$D$6:$BN$259,3,),)/1000</f>
        <v>3561.9535200000005</v>
      </c>
      <c r="P7" s="36">
        <f>+IFERROR(HLOOKUP($B7,'[2]10월'!$F$6:$CP$99,3,),)/1000</f>
        <v>2833.12617</v>
      </c>
      <c r="Q7" s="37">
        <f>+P7-O7</f>
        <v>-728.82735000000048</v>
      </c>
      <c r="R7" s="38">
        <f>+IFERROR(HLOOKUP($B7,'[3]10월'!$F$6:$CC$57,3,),)/1000</f>
        <v>3682.4273119999998</v>
      </c>
      <c r="S7" s="39">
        <f>+P7-R7</f>
        <v>-849.3011419999998</v>
      </c>
      <c r="T7" s="35">
        <f>+IFERROR(HLOOKUP($B7,'[1]10월'!$D$6:$BN$259,16,),)/1000</f>
        <v>415.60971081550616</v>
      </c>
      <c r="U7" s="36">
        <f>+IFERROR(HLOOKUP($B7,'[2]10월'!$F$6:$CP$99,16,),)/1000</f>
        <v>233.33185899999987</v>
      </c>
      <c r="V7" s="40">
        <f>+U7-T7</f>
        <v>-182.2778518155063</v>
      </c>
      <c r="W7" s="41">
        <f>+IFERROR(HLOOKUP($B7,'[3]10월'!$F$6:$CC$57,16,),)/1000</f>
        <v>151.42127199999979</v>
      </c>
      <c r="X7" s="39">
        <f>+U7-W7</f>
        <v>81.910587000000078</v>
      </c>
      <c r="Y7" s="35">
        <f>+[4]안양!$Q$85</f>
        <v>101770.10057142859</v>
      </c>
      <c r="Z7" s="36">
        <f>+[4]안양!$R$85</f>
        <v>97656.963565544109</v>
      </c>
      <c r="AA7" s="42">
        <f>+[5]안양!$Q$85</f>
        <v>94288.242529765717</v>
      </c>
      <c r="AB7" s="43">
        <f>+[4]안양!$Q$89</f>
        <v>81611.790265098229</v>
      </c>
      <c r="AC7" s="36">
        <f>+[4]안양!$R$89</f>
        <v>78918.014146559726</v>
      </c>
      <c r="AD7" s="44">
        <f>+[5]안양!$Q$89</f>
        <v>82720.758054197926</v>
      </c>
      <c r="AE7" s="43">
        <f>+Y7-AB7</f>
        <v>20158.310306330357</v>
      </c>
      <c r="AF7" s="36">
        <f>+Z7-AC7</f>
        <v>18738.949418984383</v>
      </c>
      <c r="AG7" s="44">
        <f>+AA7-AD7</f>
        <v>11567.484475567791</v>
      </c>
      <c r="AH7" s="17"/>
      <c r="AI7" s="18"/>
      <c r="AJ7" s="484"/>
      <c r="AK7" s="484"/>
    </row>
    <row r="8" spans="1:39" s="8" customFormat="1" ht="22.5" customHeight="1" x14ac:dyDescent="0.3">
      <c r="B8" s="8" t="s">
        <v>19</v>
      </c>
      <c r="F8" s="495">
        <f t="shared" ref="F8:F23" si="1">+K8/J8</f>
        <v>1.011423076923077</v>
      </c>
      <c r="G8" s="336" t="str">
        <f t="shared" ref="G8:G26" si="2">+I8</f>
        <v>인천</v>
      </c>
      <c r="H8" s="74" t="s">
        <v>41</v>
      </c>
      <c r="I8" s="75" t="s">
        <v>19</v>
      </c>
      <c r="J8" s="45">
        <f>+IFERROR(HLOOKUP($B8,'[1]10월'!$D$6:$BN$259,2,),)/1000</f>
        <v>26</v>
      </c>
      <c r="K8" s="46">
        <f>+IFERROR(HLOOKUP($B8,'[2]10월'!$F$6:$CP$99,2,),)/1000</f>
        <v>26.297000000000001</v>
      </c>
      <c r="L8" s="47">
        <f t="shared" si="0"/>
        <v>0.2970000000000006</v>
      </c>
      <c r="M8" s="48">
        <f>+IFERROR(HLOOKUP($B8,'[3]10월'!$F$6:$CC$57,2,),)/1000</f>
        <v>26.460999999999999</v>
      </c>
      <c r="N8" s="49">
        <f t="shared" ref="N8:N31" si="3">+K8-M8</f>
        <v>-0.16399999999999793</v>
      </c>
      <c r="O8" s="45">
        <f>+IFERROR(HLOOKUP($B8,'[1]10월'!$D$6:$BN$259,3,),)/1000</f>
        <v>2693.9932179409388</v>
      </c>
      <c r="P8" s="46">
        <f>+IFERROR(HLOOKUP($B8,'[2]10월'!$F$6:$CP$99,3,),)/1000</f>
        <v>2442.478126</v>
      </c>
      <c r="Q8" s="47">
        <f t="shared" ref="Q8:Q42" si="4">+P8-O8</f>
        <v>-251.51509194093887</v>
      </c>
      <c r="R8" s="48">
        <f>+IFERROR(HLOOKUP($B8,'[3]10월'!$F$6:$CC$57,3,),)/1000</f>
        <v>2558.609062</v>
      </c>
      <c r="S8" s="49">
        <f t="shared" ref="S8:S37" si="5">+P8-R8</f>
        <v>-116.13093600000002</v>
      </c>
      <c r="T8" s="45">
        <f>+IFERROR(HLOOKUP($B8,'[1]10월'!$D$6:$BN$259,16,),)/1000</f>
        <v>237.49323523752415</v>
      </c>
      <c r="U8" s="46">
        <f>+IFERROR(HLOOKUP($B8,'[2]10월'!$F$6:$CP$99,16,),)/1000</f>
        <v>-104.18711198999978</v>
      </c>
      <c r="V8" s="47">
        <f t="shared" ref="V8:V38" si="6">+U8-T8</f>
        <v>-341.68034722752395</v>
      </c>
      <c r="W8" s="48">
        <f>+IFERROR(HLOOKUP($B8,'[3]10월'!$F$6:$CC$57,16,),)/1000</f>
        <v>63.89365999999972</v>
      </c>
      <c r="X8" s="49">
        <f t="shared" ref="X8:X36" si="7">+U8-W8</f>
        <v>-168.0807719899995</v>
      </c>
      <c r="Y8" s="45">
        <f>+[4]인천!$Q$85</f>
        <v>103615.12376695918</v>
      </c>
      <c r="Z8" s="46">
        <f>+[4]인천!$R$85</f>
        <v>92880.485454614594</v>
      </c>
      <c r="AA8" s="50">
        <f>+[5]인천!$Q$85</f>
        <v>96693.589131174173</v>
      </c>
      <c r="AB8" s="51">
        <f>+[4]인천!$Q$89</f>
        <v>83139.383914223989</v>
      </c>
      <c r="AC8" s="46">
        <f>+[4]인천!$R$89</f>
        <v>84696.300574078996</v>
      </c>
      <c r="AD8" s="52">
        <f>+[5]인천!$Q$89</f>
        <v>82558.134593952011</v>
      </c>
      <c r="AE8" s="51">
        <f t="shared" ref="AE8:AG27" si="8">+Y8-AB8</f>
        <v>20475.739852735191</v>
      </c>
      <c r="AF8" s="46">
        <f t="shared" si="8"/>
        <v>8184.1848805355985</v>
      </c>
      <c r="AG8" s="52">
        <f t="shared" si="8"/>
        <v>14135.454537222162</v>
      </c>
      <c r="AH8" s="17"/>
      <c r="AI8" s="18"/>
      <c r="AJ8" s="484"/>
      <c r="AK8" s="484"/>
    </row>
    <row r="9" spans="1:39" s="8" customFormat="1" ht="22.5" customHeight="1" x14ac:dyDescent="0.3">
      <c r="B9" s="8" t="s">
        <v>20</v>
      </c>
      <c r="F9" s="495">
        <f t="shared" si="1"/>
        <v>0.67509523809523808</v>
      </c>
      <c r="G9" s="336" t="str">
        <f t="shared" si="2"/>
        <v>파주</v>
      </c>
      <c r="H9" s="74"/>
      <c r="I9" s="75" t="s">
        <v>20</v>
      </c>
      <c r="J9" s="45">
        <f>+IFERROR(HLOOKUP($B9,'[1]10월'!$D$6:$BN$259,2,),)/1000</f>
        <v>21</v>
      </c>
      <c r="K9" s="46">
        <f>+IFERROR(HLOOKUP($B9,'[2]10월'!$F$6:$CP$99,2,),)/1000</f>
        <v>14.177</v>
      </c>
      <c r="L9" s="47">
        <f t="shared" si="0"/>
        <v>-6.8230000000000004</v>
      </c>
      <c r="M9" s="48">
        <f>+IFERROR(HLOOKUP($B9,'[3]10월'!$F$6:$CC$57,2,),)/1000</f>
        <v>26.27</v>
      </c>
      <c r="N9" s="49">
        <f t="shared" si="3"/>
        <v>-12.093</v>
      </c>
      <c r="O9" s="45">
        <f>+IFERROR(HLOOKUP($B9,'[1]10월'!$D$6:$BN$259,3,),)/1000</f>
        <v>2020.3202471999998</v>
      </c>
      <c r="P9" s="46">
        <f>+IFERROR(HLOOKUP($B9,'[2]10월'!$F$6:$CP$99,3,),)/1000</f>
        <v>1282.2996000000001</v>
      </c>
      <c r="Q9" s="47">
        <f t="shared" si="4"/>
        <v>-738.02064719999976</v>
      </c>
      <c r="R9" s="48">
        <f>+IFERROR(HLOOKUP($B9,'[3]10월'!$F$6:$CC$57,3,),)/1000</f>
        <v>2323.4230339999999</v>
      </c>
      <c r="S9" s="49">
        <f t="shared" si="5"/>
        <v>-1041.1234339999999</v>
      </c>
      <c r="T9" s="45">
        <f>+IFERROR(HLOOKUP($B9,'[1]10월'!$D$6:$BN$259,16,),)/1000</f>
        <v>90.273885440254929</v>
      </c>
      <c r="U9" s="46">
        <f>+IFERROR(HLOOKUP($B9,'[2]10월'!$F$6:$CP$99,16,),)/1000</f>
        <v>-62.289172000000107</v>
      </c>
      <c r="V9" s="47">
        <f t="shared" si="6"/>
        <v>-152.56305744025502</v>
      </c>
      <c r="W9" s="48">
        <f>+IFERROR(HLOOKUP($B9,'[3]10월'!$F$6:$CC$57,16,),)/1000</f>
        <v>73.44867799999983</v>
      </c>
      <c r="X9" s="49">
        <f t="shared" si="7"/>
        <v>-135.73784999999992</v>
      </c>
      <c r="Y9" s="45">
        <f>+[4]파주!$Q$85</f>
        <v>96205.726057142849</v>
      </c>
      <c r="Z9" s="46">
        <f>+[4]파주!$R$85</f>
        <v>90400.804482114632</v>
      </c>
      <c r="AA9" s="50">
        <f>+[5]파주!$Q$85</f>
        <v>88417.961797580763</v>
      </c>
      <c r="AB9" s="51">
        <f>+[4]파주!$Q$89</f>
        <v>81454.567504515682</v>
      </c>
      <c r="AC9" s="46">
        <f>+[4]파주!$R$89</f>
        <v>79486.703275391483</v>
      </c>
      <c r="AD9" s="52">
        <f>+[5]파주!$Q$89</f>
        <v>77319.907594549077</v>
      </c>
      <c r="AE9" s="51">
        <f t="shared" si="8"/>
        <v>14751.158552627167</v>
      </c>
      <c r="AF9" s="46">
        <f t="shared" si="8"/>
        <v>10914.10120672315</v>
      </c>
      <c r="AG9" s="52">
        <f t="shared" si="8"/>
        <v>11098.054203031686</v>
      </c>
      <c r="AH9" s="17"/>
      <c r="AI9" s="18"/>
      <c r="AJ9" s="484"/>
      <c r="AK9" s="488"/>
    </row>
    <row r="10" spans="1:39" s="8" customFormat="1" ht="22.5" customHeight="1" x14ac:dyDescent="0.3">
      <c r="B10" s="8" t="s">
        <v>110</v>
      </c>
      <c r="F10" s="495">
        <f t="shared" si="1"/>
        <v>0.68117857142857141</v>
      </c>
      <c r="G10" s="336" t="str">
        <f t="shared" si="2"/>
        <v>김포</v>
      </c>
      <c r="H10" s="74"/>
      <c r="I10" s="75" t="s">
        <v>108</v>
      </c>
      <c r="J10" s="45">
        <f>+IFERROR(HLOOKUP($B10,'[1]10월'!$D$6:$BN$259,2,),)/1000</f>
        <v>14</v>
      </c>
      <c r="K10" s="46">
        <f>+IFERROR(HLOOKUP($B10,'[2]10월'!$F$6:$CP$99,2,),)/1000</f>
        <v>9.5365000000000002</v>
      </c>
      <c r="L10" s="47">
        <f t="shared" si="0"/>
        <v>-4.4634999999999998</v>
      </c>
      <c r="M10" s="48">
        <f>+IFERROR(HLOOKUP($B10,'[3]10월'!$F$6:$CC$57,2,),)/1000</f>
        <v>12.124000000000001</v>
      </c>
      <c r="N10" s="49">
        <f t="shared" si="3"/>
        <v>-2.5875000000000004</v>
      </c>
      <c r="O10" s="45">
        <f>+IFERROR(HLOOKUP($B10,'[1]10월'!$D$6:$BN$259,3,),)/1000</f>
        <v>1330.3874499999999</v>
      </c>
      <c r="P10" s="46">
        <f>+IFERROR(HLOOKUP($B10,'[2]10월'!$F$6:$CP$99,3,),)/1000</f>
        <v>922.48441999999989</v>
      </c>
      <c r="Q10" s="47">
        <f t="shared" si="4"/>
        <v>-407.90303000000006</v>
      </c>
      <c r="R10" s="48">
        <f>+IFERROR(HLOOKUP($B10,'[3]10월'!$F$6:$CC$57,3,),)/1000</f>
        <v>1149.060604</v>
      </c>
      <c r="S10" s="49">
        <f t="shared" si="5"/>
        <v>-226.57618400000013</v>
      </c>
      <c r="T10" s="45">
        <f>+IFERROR(HLOOKUP($B10,'[1]10월'!$D$6:$BN$259,16,),)/1000</f>
        <v>84.478736980823399</v>
      </c>
      <c r="U10" s="46">
        <f>+IFERROR(HLOOKUP($B10,'[2]10월'!$F$6:$CP$99,16,),)/1000</f>
        <v>5.8503719999998935</v>
      </c>
      <c r="V10" s="47">
        <f t="shared" si="6"/>
        <v>-78.628364980823505</v>
      </c>
      <c r="W10" s="48">
        <f>+IFERROR(HLOOKUP($B10,'[3]10월'!$F$6:$CC$57,16,),)/1000</f>
        <v>74.662069000000059</v>
      </c>
      <c r="X10" s="49">
        <f t="shared" si="7"/>
        <v>-68.811697000000166</v>
      </c>
      <c r="Y10" s="45">
        <f>+[4]김포!$Q$85</f>
        <v>95027.675000000003</v>
      </c>
      <c r="Z10" s="46">
        <f>+[4]김포!$R$85</f>
        <v>96819.911063487802</v>
      </c>
      <c r="AA10" s="50">
        <f>+[5]김포!$Q$85</f>
        <v>94775.701418673707</v>
      </c>
      <c r="AB10" s="51">
        <f>+[4]김포!$Q$89</f>
        <v>77009.611683909432</v>
      </c>
      <c r="AC10" s="46">
        <f>+[4]김포!$R$89</f>
        <v>78178.96137155102</v>
      </c>
      <c r="AD10" s="52">
        <f>+[5]김포!$Q$89</f>
        <v>75594.088914549662</v>
      </c>
      <c r="AE10" s="51">
        <f t="shared" si="8"/>
        <v>18018.063316090571</v>
      </c>
      <c r="AF10" s="46">
        <f t="shared" si="8"/>
        <v>18640.949691936781</v>
      </c>
      <c r="AG10" s="52">
        <f t="shared" si="8"/>
        <v>19181.612504124045</v>
      </c>
      <c r="AH10" s="17"/>
      <c r="AI10" s="18"/>
      <c r="AJ10" s="484"/>
      <c r="AK10" s="488"/>
    </row>
    <row r="11" spans="1:39" s="8" customFormat="1" ht="22.5" customHeight="1" x14ac:dyDescent="0.3">
      <c r="B11" s="8" t="s">
        <v>21</v>
      </c>
      <c r="F11" s="495">
        <f t="shared" si="1"/>
        <v>0.93221052631578949</v>
      </c>
      <c r="G11" s="334" t="str">
        <f t="shared" si="2"/>
        <v>부산</v>
      </c>
      <c r="H11" s="74"/>
      <c r="I11" s="76" t="s">
        <v>21</v>
      </c>
      <c r="J11" s="62">
        <f>+IFERROR(HLOOKUP($B11,'[1]10월'!$D$6:$BN$259,2,),)/1000</f>
        <v>19</v>
      </c>
      <c r="K11" s="63">
        <f>+IFERROR(HLOOKUP($B11,'[2]10월'!$F$6:$CP$99,2,),)/1000</f>
        <v>17.712</v>
      </c>
      <c r="L11" s="64">
        <f t="shared" si="0"/>
        <v>-1.2880000000000003</v>
      </c>
      <c r="M11" s="65">
        <f>+IFERROR(HLOOKUP($B11,'[3]10월'!$F$6:$CC$57,2,),)/1000</f>
        <v>16.751999999999999</v>
      </c>
      <c r="N11" s="66">
        <f t="shared" si="3"/>
        <v>0.96000000000000085</v>
      </c>
      <c r="O11" s="62">
        <f>+IFERROR(HLOOKUP($B11,'[1]10월'!$D$6:$BN$259,3,),)/1000</f>
        <v>2046.3003883599999</v>
      </c>
      <c r="P11" s="63">
        <f>+IFERROR(HLOOKUP($B11,'[2]10월'!$F$6:$CP$99,3,),)/1000</f>
        <v>1942.1621</v>
      </c>
      <c r="Q11" s="64">
        <f t="shared" si="4"/>
        <v>-104.13828835999993</v>
      </c>
      <c r="R11" s="65">
        <f>+IFERROR(HLOOKUP($B11,'[3]10월'!$F$6:$CC$57,3,),)/1000</f>
        <v>1728.9811599999998</v>
      </c>
      <c r="S11" s="66">
        <f t="shared" si="5"/>
        <v>213.18094000000019</v>
      </c>
      <c r="T11" s="62">
        <f>+IFERROR(HLOOKUP($B11,'[1]10월'!$D$6:$BN$259,16,),)/1000</f>
        <v>166.34785653224458</v>
      </c>
      <c r="U11" s="63">
        <f>+IFERROR(HLOOKUP($B11,'[2]10월'!$F$6:$CP$99,16,),)/1000</f>
        <v>113.69739100000014</v>
      </c>
      <c r="V11" s="64">
        <f t="shared" si="6"/>
        <v>-52.650465532244439</v>
      </c>
      <c r="W11" s="65">
        <f>+IFERROR(HLOOKUP($B11,'[3]10월'!$F$6:$CC$57,16,),)/1000</f>
        <v>57.651192999999957</v>
      </c>
      <c r="X11" s="66">
        <f t="shared" si="7"/>
        <v>56.046198000000182</v>
      </c>
      <c r="Y11" s="62">
        <f>+[4]부산!$Q$85</f>
        <v>107700.02044000001</v>
      </c>
      <c r="Z11" s="63">
        <f>+[4]부산!$R$85</f>
        <v>109652.3317524842</v>
      </c>
      <c r="AA11" s="67">
        <f>+[5]부산!$Q$85</f>
        <v>103210.43218720151</v>
      </c>
      <c r="AB11" s="68">
        <f>+[4]부산!$Q$89</f>
        <v>85358.086263170728</v>
      </c>
      <c r="AC11" s="63">
        <f>+[4]부산!$R$89</f>
        <v>88816.139566395679</v>
      </c>
      <c r="AD11" s="69">
        <f>+[5]부산!$Q$89</f>
        <v>83827.019807887351</v>
      </c>
      <c r="AE11" s="68">
        <f t="shared" si="8"/>
        <v>22341.93417682928</v>
      </c>
      <c r="AF11" s="63">
        <f t="shared" si="8"/>
        <v>20836.19218608852</v>
      </c>
      <c r="AG11" s="69">
        <f t="shared" si="8"/>
        <v>19383.412379314163</v>
      </c>
      <c r="AH11" s="17"/>
      <c r="AI11" s="18"/>
      <c r="AJ11" s="490"/>
      <c r="AK11" s="484"/>
      <c r="AL11" s="488"/>
      <c r="AM11" s="86"/>
    </row>
    <row r="12" spans="1:39" s="8" customFormat="1" ht="22.5" customHeight="1" x14ac:dyDescent="0.3">
      <c r="B12" s="8" t="s">
        <v>22</v>
      </c>
      <c r="F12" s="495">
        <f t="shared" si="1"/>
        <v>1.0823684210526316</v>
      </c>
      <c r="G12" s="334" t="str">
        <f t="shared" si="2"/>
        <v>서부산</v>
      </c>
      <c r="H12" s="74"/>
      <c r="I12" s="75" t="s">
        <v>22</v>
      </c>
      <c r="J12" s="45">
        <f>+IFERROR(HLOOKUP($B12,'[1]10월'!$D$6:$BN$259,2,),)/1000</f>
        <v>19</v>
      </c>
      <c r="K12" s="46">
        <f>+IFERROR(HLOOKUP($B12,'[2]10월'!$F$6:$CP$99,2,),)/1000</f>
        <v>20.565000000000001</v>
      </c>
      <c r="L12" s="47">
        <f t="shared" si="0"/>
        <v>1.5650000000000013</v>
      </c>
      <c r="M12" s="48">
        <f>+IFERROR(HLOOKUP($B12,'[3]10월'!$F$6:$CC$57,2,),)/1000</f>
        <v>19.663</v>
      </c>
      <c r="N12" s="49">
        <f t="shared" si="3"/>
        <v>0.90200000000000102</v>
      </c>
      <c r="O12" s="45">
        <f>+IFERROR(HLOOKUP($B12,'[1]10월'!$D$6:$BN$259,3,),)/1000</f>
        <v>1886.7073240000009</v>
      </c>
      <c r="P12" s="46">
        <f>+IFERROR(HLOOKUP($B12,'[2]10월'!$F$6:$CP$99,3,),)/1000</f>
        <v>2041.1455000000001</v>
      </c>
      <c r="Q12" s="47">
        <f t="shared" si="4"/>
        <v>154.4381759999992</v>
      </c>
      <c r="R12" s="48">
        <f>+IFERROR(HLOOKUP($B12,'[3]10월'!$F$6:$CC$57,3,),)/1000</f>
        <v>1865.551917</v>
      </c>
      <c r="S12" s="49">
        <f t="shared" si="5"/>
        <v>175.59358300000008</v>
      </c>
      <c r="T12" s="45">
        <f>+IFERROR(HLOOKUP($B12,'[1]10월'!$D$6:$BN$259,16,),)/1000</f>
        <v>178.71898030460724</v>
      </c>
      <c r="U12" s="46">
        <f>+IFERROR(HLOOKUP($B12,'[2]10월'!$F$6:$CP$99,16,),)/1000</f>
        <v>182.61006500000011</v>
      </c>
      <c r="V12" s="47">
        <f t="shared" si="6"/>
        <v>3.8910846953928626</v>
      </c>
      <c r="W12" s="48">
        <f>+IFERROR(HLOOKUP($B12,'[3]10월'!$F$6:$CC$57,16,),)/1000</f>
        <v>132.60605799999979</v>
      </c>
      <c r="X12" s="49">
        <f t="shared" si="7"/>
        <v>50.004007000000314</v>
      </c>
      <c r="Y12" s="45">
        <f>+[4]서부산!$Q$85</f>
        <v>99300.385473684262</v>
      </c>
      <c r="Z12" s="46">
        <f>+[4]서부산!$R$85</f>
        <v>99253.367371748114</v>
      </c>
      <c r="AA12" s="50">
        <f>+[5]서부산!$Q$85</f>
        <v>94876.26084524233</v>
      </c>
      <c r="AB12" s="51">
        <f>+[4]서부산!$Q$89</f>
        <v>78051.441381628902</v>
      </c>
      <c r="AC12" s="46">
        <f>+[4]서부산!$R$89</f>
        <v>79067.724967269547</v>
      </c>
      <c r="AD12" s="52">
        <f>+[5]서부산!$Q$89</f>
        <v>77092.366140393497</v>
      </c>
      <c r="AE12" s="51">
        <f t="shared" si="8"/>
        <v>21248.944092055361</v>
      </c>
      <c r="AF12" s="46">
        <f t="shared" si="8"/>
        <v>20185.642404478567</v>
      </c>
      <c r="AG12" s="52">
        <f t="shared" si="8"/>
        <v>17783.894704848833</v>
      </c>
      <c r="AH12" s="17"/>
      <c r="AI12" s="18"/>
      <c r="AJ12" s="484"/>
      <c r="AK12" s="488"/>
    </row>
    <row r="13" spans="1:39" s="8" customFormat="1" ht="22.5" customHeight="1" x14ac:dyDescent="0.3">
      <c r="B13" s="8" t="s">
        <v>23</v>
      </c>
      <c r="F13" s="495">
        <f t="shared" si="1"/>
        <v>0.40756249999999999</v>
      </c>
      <c r="G13" s="334" t="str">
        <f t="shared" si="2"/>
        <v>김해</v>
      </c>
      <c r="H13" s="74"/>
      <c r="I13" s="75" t="s">
        <v>23</v>
      </c>
      <c r="J13" s="45">
        <f>+IFERROR(HLOOKUP($B13,'[1]10월'!$D$6:$BN$259,2,),)/1000</f>
        <v>16</v>
      </c>
      <c r="K13" s="46">
        <f>+IFERROR(HLOOKUP($B13,'[2]10월'!$F$6:$CP$99,2,),)/1000</f>
        <v>6.5209999999999999</v>
      </c>
      <c r="L13" s="47">
        <f t="shared" si="0"/>
        <v>-9.4789999999999992</v>
      </c>
      <c r="M13" s="48">
        <f>+IFERROR(HLOOKUP($B13,'[3]10월'!$F$6:$CC$57,2,),)/1000</f>
        <v>13.654999999999999</v>
      </c>
      <c r="N13" s="49">
        <f t="shared" si="3"/>
        <v>-7.1339999999999995</v>
      </c>
      <c r="O13" s="45">
        <f>+IFERROR(HLOOKUP($B13,'[1]10월'!$D$6:$BN$259,3,),)/1000</f>
        <v>1540.7966999999999</v>
      </c>
      <c r="P13" s="46">
        <f>+IFERROR(HLOOKUP($B13,'[2]10월'!$F$6:$CP$99,3,),)/1000</f>
        <v>629.40069999999992</v>
      </c>
      <c r="Q13" s="47">
        <f t="shared" si="4"/>
        <v>-911.39599999999996</v>
      </c>
      <c r="R13" s="48">
        <f>+IFERROR(HLOOKUP($B13,'[3]10월'!$F$6:$CC$57,3,),)/1000</f>
        <v>1233.9870000000001</v>
      </c>
      <c r="S13" s="49">
        <f t="shared" si="5"/>
        <v>-604.58630000000016</v>
      </c>
      <c r="T13" s="45">
        <f>+IFERROR(HLOOKUP($B13,'[1]10월'!$D$6:$BN$259,16,),)/1000</f>
        <v>147.10502384574576</v>
      </c>
      <c r="U13" s="46">
        <f>+IFERROR(HLOOKUP($B13,'[2]10월'!$F$6:$CP$99,16,),)/1000</f>
        <v>-38.691111000000127</v>
      </c>
      <c r="V13" s="47">
        <f t="shared" si="6"/>
        <v>-185.79613484574588</v>
      </c>
      <c r="W13" s="48">
        <f>+IFERROR(HLOOKUP($B13,'[3]10월'!$F$6:$CC$57,16,),)/1000</f>
        <v>10.39804699999997</v>
      </c>
      <c r="X13" s="49">
        <f t="shared" si="7"/>
        <v>-49.089158000000097</v>
      </c>
      <c r="Y13" s="45">
        <f>+[4]김해!$Q$85</f>
        <v>96299.793749999997</v>
      </c>
      <c r="Z13" s="46">
        <f>+[4]김해!$R$85</f>
        <v>96519.046158564641</v>
      </c>
      <c r="AA13" s="50">
        <f>+[5]김해!$Q$85</f>
        <v>90368.87586964482</v>
      </c>
      <c r="AB13" s="51">
        <f>+[4]김해!$Q$89</f>
        <v>77583.785523529776</v>
      </c>
      <c r="AC13" s="46">
        <f>+[4]김해!$R$89</f>
        <v>80973.756632418343</v>
      </c>
      <c r="AD13" s="52">
        <f>+[5]김해!$Q$89</f>
        <v>78384.071402416681</v>
      </c>
      <c r="AE13" s="51">
        <f t="shared" si="8"/>
        <v>18716.008226470221</v>
      </c>
      <c r="AF13" s="46">
        <f t="shared" si="8"/>
        <v>15545.289526146298</v>
      </c>
      <c r="AG13" s="52">
        <f t="shared" si="8"/>
        <v>11984.804467228139</v>
      </c>
      <c r="AH13" s="17"/>
      <c r="AI13" s="18"/>
      <c r="AJ13" s="484"/>
      <c r="AK13" s="488"/>
    </row>
    <row r="14" spans="1:39" s="8" customFormat="1" ht="22.5" customHeight="1" x14ac:dyDescent="0.3">
      <c r="B14" s="8" t="s">
        <v>24</v>
      </c>
      <c r="F14" s="495">
        <f t="shared" si="1"/>
        <v>1.0075833333333335</v>
      </c>
      <c r="G14" s="334" t="str">
        <f t="shared" si="2"/>
        <v>정관</v>
      </c>
      <c r="H14" s="74"/>
      <c r="I14" s="75" t="s">
        <v>24</v>
      </c>
      <c r="J14" s="45">
        <f>+IFERROR(HLOOKUP($B14,'[1]10월'!$D$6:$BN$259,2,),)/1000</f>
        <v>18</v>
      </c>
      <c r="K14" s="46">
        <f>+IFERROR(HLOOKUP($B14,'[2]10월'!$F$6:$CP$99,2,),)/1000</f>
        <v>18.136500000000002</v>
      </c>
      <c r="L14" s="47">
        <f t="shared" si="0"/>
        <v>0.13650000000000162</v>
      </c>
      <c r="M14" s="48">
        <f>+IFERROR(HLOOKUP($B14,'[3]10월'!$F$6:$CC$57,2,),)/1000</f>
        <v>21.756</v>
      </c>
      <c r="N14" s="49">
        <f t="shared" si="3"/>
        <v>-3.6194999999999986</v>
      </c>
      <c r="O14" s="45">
        <f>+IFERROR(HLOOKUP($B14,'[1]10월'!$D$6:$BN$259,3,),)/1000</f>
        <v>1836.0076551999998</v>
      </c>
      <c r="P14" s="46">
        <f>+IFERROR(HLOOKUP($B14,'[2]10월'!$F$6:$CP$99,3,),)/1000</f>
        <v>1805.6837</v>
      </c>
      <c r="Q14" s="47">
        <f t="shared" si="4"/>
        <v>-30.323955199999773</v>
      </c>
      <c r="R14" s="48">
        <f>+IFERROR(HLOOKUP($B14,'[3]10월'!$F$6:$CC$57,3,),)/1000</f>
        <v>2122.010722</v>
      </c>
      <c r="S14" s="49">
        <f t="shared" si="5"/>
        <v>-316.32702199999994</v>
      </c>
      <c r="T14" s="45">
        <f>+IFERROR(HLOOKUP($B14,'[1]10월'!$D$6:$BN$259,16,),)/1000</f>
        <v>140.96725293050312</v>
      </c>
      <c r="U14" s="46">
        <f>+IFERROR(HLOOKUP($B14,'[2]10월'!$F$6:$CP$99,16,),)/1000</f>
        <v>70.235028999999955</v>
      </c>
      <c r="V14" s="47">
        <f t="shared" si="6"/>
        <v>-70.732223930503167</v>
      </c>
      <c r="W14" s="48">
        <f>+IFERROR(HLOOKUP($B14,'[3]10월'!$F$6:$CC$57,16,),)/1000</f>
        <v>142.76762600000006</v>
      </c>
      <c r="X14" s="49">
        <f t="shared" si="7"/>
        <v>-72.532597000000109</v>
      </c>
      <c r="Y14" s="45">
        <f>+[4]정관!$Q$85</f>
        <v>102000.42528888889</v>
      </c>
      <c r="Z14" s="46">
        <f>+[4]정관!$R$85</f>
        <v>99560.758691037408</v>
      </c>
      <c r="AA14" s="50">
        <f>+[5]정관!$Q$85</f>
        <v>97536.80465159037</v>
      </c>
      <c r="AB14" s="51">
        <f>+[4]정관!$Q$89</f>
        <v>82546.041885342391</v>
      </c>
      <c r="AC14" s="46">
        <f>+[4]정관!$R$89</f>
        <v>83833.872399062966</v>
      </c>
      <c r="AD14" s="52">
        <f>+[5]정관!$Q$89</f>
        <v>81346.354884661341</v>
      </c>
      <c r="AE14" s="51">
        <f t="shared" si="8"/>
        <v>19454.383403546497</v>
      </c>
      <c r="AF14" s="46">
        <f t="shared" si="8"/>
        <v>15726.886291974442</v>
      </c>
      <c r="AG14" s="52">
        <f t="shared" si="8"/>
        <v>16190.449766929029</v>
      </c>
      <c r="AH14" s="17"/>
      <c r="AI14" s="18"/>
      <c r="AJ14" s="484"/>
      <c r="AK14" s="488"/>
    </row>
    <row r="15" spans="1:39" s="8" customFormat="1" ht="22.5" customHeight="1" x14ac:dyDescent="0.3">
      <c r="B15" s="8" t="s">
        <v>25</v>
      </c>
      <c r="F15" s="495">
        <f t="shared" si="1"/>
        <v>0.3163333333333333</v>
      </c>
      <c r="G15" s="334" t="str">
        <f t="shared" si="2"/>
        <v>양산</v>
      </c>
      <c r="H15" s="74"/>
      <c r="I15" s="75" t="s">
        <v>25</v>
      </c>
      <c r="J15" s="45">
        <f>+IFERROR(HLOOKUP($B15,'[1]10월'!$D$6:$BN$259,2,),)/1000</f>
        <v>12</v>
      </c>
      <c r="K15" s="46">
        <f>+IFERROR(HLOOKUP($B15,'[2]10월'!$F$6:$CP$99,2,),)/1000</f>
        <v>3.7959999999999998</v>
      </c>
      <c r="L15" s="47">
        <f t="shared" si="0"/>
        <v>-8.2040000000000006</v>
      </c>
      <c r="M15" s="48">
        <f>+IFERROR(HLOOKUP($B15,'[3]10월'!$F$6:$CC$57,2,),)/1000</f>
        <v>13.907999999999999</v>
      </c>
      <c r="N15" s="49">
        <f t="shared" si="3"/>
        <v>-10.112</v>
      </c>
      <c r="O15" s="45">
        <f>+IFERROR(HLOOKUP($B15,'[1]10월'!$D$6:$BN$259,3,),)/1000</f>
        <v>1132.56</v>
      </c>
      <c r="P15" s="46">
        <f>+IFERROR(HLOOKUP($B15,'[2]10월'!$F$6:$CP$99,3,),)/1000</f>
        <v>346.70580000000001</v>
      </c>
      <c r="Q15" s="47">
        <f t="shared" si="4"/>
        <v>-785.85419999999999</v>
      </c>
      <c r="R15" s="48">
        <f>+IFERROR(HLOOKUP($B15,'[3]10월'!$F$6:$CC$57,3,),)/1000</f>
        <v>1309.0971999999999</v>
      </c>
      <c r="S15" s="49">
        <f t="shared" si="5"/>
        <v>-962.39139999999998</v>
      </c>
      <c r="T15" s="45">
        <f>+IFERROR(HLOOKUP($B15,'[1]10월'!$D$6:$BN$259,16,),)/1000</f>
        <v>111.54796931510573</v>
      </c>
      <c r="U15" s="46">
        <f>+IFERROR(HLOOKUP($B15,'[2]10월'!$F$6:$CP$99,16,),)/1000</f>
        <v>-76.735298000000057</v>
      </c>
      <c r="V15" s="47">
        <f t="shared" si="6"/>
        <v>-188.28326731510577</v>
      </c>
      <c r="W15" s="48">
        <f>+IFERROR(HLOOKUP($B15,'[3]10월'!$F$6:$CC$57,16,),)/1000</f>
        <v>152.35461799999996</v>
      </c>
      <c r="X15" s="49">
        <f t="shared" si="7"/>
        <v>-229.08991600000002</v>
      </c>
      <c r="Y15" s="45">
        <f>+[4]양산!$Q$85</f>
        <v>94380</v>
      </c>
      <c r="Z15" s="46">
        <f>+[4]양산!$R$85</f>
        <v>91334.5100105374</v>
      </c>
      <c r="AA15" s="50">
        <f>+[5]양산!$Q$85</f>
        <v>94125.48173712971</v>
      </c>
      <c r="AB15" s="51">
        <f>+[4]양산!$Q$89</f>
        <v>73434.126603370823</v>
      </c>
      <c r="AC15" s="46">
        <f>+[4]양산!$R$89</f>
        <v>76729.466543730246</v>
      </c>
      <c r="AD15" s="52">
        <f>+[5]양산!$Q$89</f>
        <v>72678.270995110739</v>
      </c>
      <c r="AE15" s="51">
        <f t="shared" si="8"/>
        <v>20945.873396629177</v>
      </c>
      <c r="AF15" s="46">
        <f t="shared" si="8"/>
        <v>14605.043466807154</v>
      </c>
      <c r="AG15" s="52">
        <f t="shared" si="8"/>
        <v>21447.210742018971</v>
      </c>
      <c r="AH15" s="17"/>
      <c r="AI15" s="18"/>
      <c r="AJ15" s="484"/>
      <c r="AK15" s="488"/>
    </row>
    <row r="16" spans="1:39" s="8" customFormat="1" ht="22.5" customHeight="1" x14ac:dyDescent="0.3">
      <c r="B16" s="8" t="s">
        <v>26</v>
      </c>
      <c r="F16" s="495">
        <f t="shared" si="1"/>
        <v>0.42016666666666663</v>
      </c>
      <c r="G16" s="334" t="str">
        <f t="shared" si="2"/>
        <v>창원</v>
      </c>
      <c r="H16" s="74"/>
      <c r="I16" s="75" t="s">
        <v>26</v>
      </c>
      <c r="J16" s="45">
        <f>+IFERROR(HLOOKUP($B16,'[1]10월'!$D$6:$BN$259,2,),)/1000</f>
        <v>18</v>
      </c>
      <c r="K16" s="46">
        <f>+IFERROR(HLOOKUP($B16,'[2]10월'!$F$6:$CP$99,2,),)/1000</f>
        <v>7.5629999999999997</v>
      </c>
      <c r="L16" s="47">
        <f t="shared" si="0"/>
        <v>-10.437000000000001</v>
      </c>
      <c r="M16" s="48">
        <f>+IFERROR(HLOOKUP($B16,'[3]10월'!$F$6:$CC$57,2,),)/1000</f>
        <v>14.58</v>
      </c>
      <c r="N16" s="49">
        <f t="shared" si="3"/>
        <v>-7.0170000000000003</v>
      </c>
      <c r="O16" s="45">
        <f>+IFERROR(HLOOKUP($B16,'[1]10월'!$D$6:$BN$259,3,),)/1000</f>
        <v>1801.8046371719997</v>
      </c>
      <c r="P16" s="46">
        <f>+IFERROR(HLOOKUP($B16,'[2]10월'!$F$6:$CP$99,3,),)/1000</f>
        <v>690.5367</v>
      </c>
      <c r="Q16" s="47">
        <f t="shared" si="4"/>
        <v>-1111.2679371719996</v>
      </c>
      <c r="R16" s="48">
        <f>+IFERROR(HLOOKUP($B16,'[3]10월'!$F$6:$CC$57,3,),)/1000</f>
        <v>1357.6853000000001</v>
      </c>
      <c r="S16" s="49">
        <f t="shared" si="5"/>
        <v>-667.1486000000001</v>
      </c>
      <c r="T16" s="45">
        <f>+IFERROR(HLOOKUP($B16,'[1]10월'!$D$6:$BN$259,16,),)/1000</f>
        <v>251.93650081406977</v>
      </c>
      <c r="U16" s="46">
        <f>+IFERROR(HLOOKUP($B16,'[2]10월'!$F$6:$CP$99,16,),)/1000</f>
        <v>-42.600381000000056</v>
      </c>
      <c r="V16" s="47">
        <f t="shared" si="6"/>
        <v>-294.53688181406983</v>
      </c>
      <c r="W16" s="48">
        <f>+IFERROR(HLOOKUP($B16,'[3]10월'!$F$6:$CC$57,16,),)/1000</f>
        <v>76.578861000000131</v>
      </c>
      <c r="X16" s="49">
        <f t="shared" si="7"/>
        <v>-119.17924200000019</v>
      </c>
      <c r="Y16" s="45">
        <f>+[4]창원!$Q$85</f>
        <v>100100.25762066666</v>
      </c>
      <c r="Z16" s="46">
        <f>+[4]창원!$R$85</f>
        <v>91304.60134867116</v>
      </c>
      <c r="AA16" s="50">
        <f>+[5]창원!$Q$85</f>
        <v>93119.705075445818</v>
      </c>
      <c r="AB16" s="51">
        <f>+[4]창원!$Q$89</f>
        <v>76013.850793395322</v>
      </c>
      <c r="AC16" s="46">
        <f>+[4]창원!$R$89</f>
        <v>72525.175327251098</v>
      </c>
      <c r="AD16" s="52">
        <f>+[5]창원!$Q$89</f>
        <v>74871.475240054875</v>
      </c>
      <c r="AE16" s="51">
        <f t="shared" si="8"/>
        <v>24086.406827271334</v>
      </c>
      <c r="AF16" s="46">
        <f t="shared" si="8"/>
        <v>18779.426021420062</v>
      </c>
      <c r="AG16" s="52">
        <f t="shared" si="8"/>
        <v>18248.229835390943</v>
      </c>
      <c r="AH16" s="17"/>
      <c r="AI16" s="18"/>
      <c r="AJ16" s="484"/>
      <c r="AK16" s="488"/>
    </row>
    <row r="17" spans="2:39" s="8" customFormat="1" ht="22.5" customHeight="1" x14ac:dyDescent="0.3">
      <c r="B17" s="8" t="s">
        <v>70</v>
      </c>
      <c r="F17" s="495">
        <f t="shared" si="1"/>
        <v>0.57324999999999993</v>
      </c>
      <c r="G17" s="334" t="str">
        <f t="shared" si="2"/>
        <v>대구</v>
      </c>
      <c r="H17" s="74"/>
      <c r="I17" s="75" t="s">
        <v>70</v>
      </c>
      <c r="J17" s="45">
        <f>+IFERROR(HLOOKUP($B17,'[1]10월'!$D$6:$BN$259,2,),)/1000</f>
        <v>12</v>
      </c>
      <c r="K17" s="46">
        <f>+IFERROR(HLOOKUP($B17,'[2]10월'!$F$6:$CP$99,2,),)/1000</f>
        <v>6.8789999999999996</v>
      </c>
      <c r="L17" s="47">
        <f t="shared" si="0"/>
        <v>-5.1210000000000004</v>
      </c>
      <c r="M17" s="48">
        <f>+IFERROR(HLOOKUP($B17,'[3]10월'!$F$6:$CC$57,2,),)/1000</f>
        <v>15.64</v>
      </c>
      <c r="N17" s="49">
        <f t="shared" si="3"/>
        <v>-8.761000000000001</v>
      </c>
      <c r="O17" s="45">
        <f>+IFERROR(HLOOKUP($B17,'[1]10월'!$D$6:$BN$259,3,),)/1000</f>
        <v>1167.0316826086957</v>
      </c>
      <c r="P17" s="46">
        <f>+IFERROR(HLOOKUP($B17,'[2]10월'!$F$6:$CP$99,3,),)/1000</f>
        <v>594.28798199999994</v>
      </c>
      <c r="Q17" s="47">
        <f t="shared" si="4"/>
        <v>-572.7437006086958</v>
      </c>
      <c r="R17" s="48">
        <f>+IFERROR(HLOOKUP($B17,'[3]10월'!$F$6:$CC$57,3,),)/1000</f>
        <v>1465.48405</v>
      </c>
      <c r="S17" s="49">
        <f t="shared" si="5"/>
        <v>-871.19606800000008</v>
      </c>
      <c r="T17" s="45">
        <f>+IFERROR(HLOOKUP($B17,'[1]10월'!$D$6:$BN$259,16,),)/1000</f>
        <v>112.899386292323</v>
      </c>
      <c r="U17" s="46">
        <f>+IFERROR(HLOOKUP($B17,'[2]10월'!$F$6:$CP$99,16,),)/1000</f>
        <v>-60.636871999999997</v>
      </c>
      <c r="V17" s="47">
        <f t="shared" si="6"/>
        <v>-173.536258292323</v>
      </c>
      <c r="W17" s="48">
        <f>+IFERROR(HLOOKUP($B17,'[3]10월'!$F$6:$CC$57,16,),)/1000</f>
        <v>100.63415100000014</v>
      </c>
      <c r="X17" s="49">
        <f t="shared" si="7"/>
        <v>-161.27102300000013</v>
      </c>
      <c r="Y17" s="45">
        <f>+[4]대구!$Q$85</f>
        <v>97252.640217391308</v>
      </c>
      <c r="Z17" s="46">
        <f>+[4]대구!$R$85</f>
        <v>86391.624073266459</v>
      </c>
      <c r="AA17" s="50">
        <f>+[5]대구!$Q$85</f>
        <v>93698.609335038374</v>
      </c>
      <c r="AB17" s="51">
        <f>+[4]대구!$Q$89</f>
        <v>73374.505027028848</v>
      </c>
      <c r="AC17" s="46">
        <f>+[4]대구!$R$89</f>
        <v>74755.374909143778</v>
      </c>
      <c r="AD17" s="52">
        <f>+[5]대구!$Q$89</f>
        <v>76355.668606138104</v>
      </c>
      <c r="AE17" s="51">
        <f t="shared" si="8"/>
        <v>23878.13519036246</v>
      </c>
      <c r="AF17" s="46">
        <f t="shared" si="8"/>
        <v>11636.249164122681</v>
      </c>
      <c r="AG17" s="52">
        <f t="shared" si="8"/>
        <v>17342.94072890027</v>
      </c>
      <c r="AH17" s="17"/>
      <c r="AI17" s="18"/>
      <c r="AJ17" s="484"/>
      <c r="AK17" s="488"/>
    </row>
    <row r="18" spans="2:39" s="8" customFormat="1" ht="22.5" customHeight="1" x14ac:dyDescent="0.3">
      <c r="B18" s="8" t="s">
        <v>71</v>
      </c>
      <c r="F18" s="495">
        <f t="shared" si="1"/>
        <v>0.68575999999999993</v>
      </c>
      <c r="G18" s="336" t="str">
        <f t="shared" si="2"/>
        <v>울산</v>
      </c>
      <c r="H18" s="74"/>
      <c r="I18" s="77" t="s">
        <v>71</v>
      </c>
      <c r="J18" s="9">
        <f>+IFERROR(HLOOKUP($B18,'[1]10월'!$D$6:$BN$259,2,),)/1000</f>
        <v>12.5</v>
      </c>
      <c r="K18" s="10">
        <f>+IFERROR(HLOOKUP($B18,'[2]10월'!$F$6:$CP$99,2,),)/1000</f>
        <v>8.5719999999999992</v>
      </c>
      <c r="L18" s="11">
        <f t="shared" si="0"/>
        <v>-3.9280000000000008</v>
      </c>
      <c r="M18" s="12">
        <f>+IFERROR(HLOOKUP($B18,'[3]10월'!$F$6:$CC$57,2,),)/1000</f>
        <v>14.266999999999999</v>
      </c>
      <c r="N18" s="13">
        <f t="shared" si="3"/>
        <v>-5.6950000000000003</v>
      </c>
      <c r="O18" s="9">
        <f>+IFERROR(HLOOKUP($B18,'[1]10월'!$D$6:$BN$259,3,),)/1000</f>
        <v>1302.777</v>
      </c>
      <c r="P18" s="10">
        <f>+IFERROR(HLOOKUP($B18,'[2]10월'!$F$6:$CP$99,3,),)/1000</f>
        <v>908.00350000000003</v>
      </c>
      <c r="Q18" s="11">
        <f t="shared" si="4"/>
        <v>-394.77350000000001</v>
      </c>
      <c r="R18" s="12">
        <f>+IFERROR(HLOOKUP($B18,'[3]10월'!$F$6:$CC$57,3,),)/1000</f>
        <v>1420.6244999999999</v>
      </c>
      <c r="S18" s="13">
        <f t="shared" si="5"/>
        <v>-512.62099999999987</v>
      </c>
      <c r="T18" s="9">
        <f>+IFERROR(HLOOKUP($B18,'[1]10월'!$D$6:$BN$259,16,),)/1000</f>
        <v>135.82855026316662</v>
      </c>
      <c r="U18" s="10">
        <f>+IFERROR(HLOOKUP($B18,'[2]10월'!$F$6:$CP$99,16,),)/1000</f>
        <v>31.56500200000006</v>
      </c>
      <c r="V18" s="11">
        <f t="shared" si="6"/>
        <v>-104.26354826316656</v>
      </c>
      <c r="W18" s="12">
        <f>+IFERROR(HLOOKUP($B18,'[3]10월'!$F$6:$CC$57,16,),)/1000</f>
        <v>157.77048399999995</v>
      </c>
      <c r="X18" s="13">
        <f t="shared" si="7"/>
        <v>-126.20548199999989</v>
      </c>
      <c r="Y18" s="9">
        <f>+[4]울산!$Q$85</f>
        <v>104222.16</v>
      </c>
      <c r="Z18" s="10">
        <f>+[4]울산!$R$85</f>
        <v>105926.67988800746</v>
      </c>
      <c r="AA18" s="14">
        <f>+[5]울산!$Q$85</f>
        <v>99574.157145861085</v>
      </c>
      <c r="AB18" s="15">
        <f>+[4]울산!$Q$89</f>
        <v>81791.333663555619</v>
      </c>
      <c r="AC18" s="10">
        <f>+[4]울산!$R$89</f>
        <v>85389.418688754085</v>
      </c>
      <c r="AD18" s="16">
        <f>+[5]울산!$Q$89</f>
        <v>78942.319363655479</v>
      </c>
      <c r="AE18" s="15">
        <f t="shared" si="8"/>
        <v>22430.826336444385</v>
      </c>
      <c r="AF18" s="10">
        <f t="shared" si="8"/>
        <v>20537.261199253378</v>
      </c>
      <c r="AG18" s="16">
        <f t="shared" si="8"/>
        <v>20631.837782205606</v>
      </c>
      <c r="AH18" s="17"/>
      <c r="AI18" s="18"/>
      <c r="AJ18" s="484"/>
      <c r="AK18" s="488"/>
    </row>
    <row r="19" spans="2:39" s="8" customFormat="1" ht="22.5" customHeight="1" x14ac:dyDescent="0.3">
      <c r="B19" s="8" t="s">
        <v>76</v>
      </c>
      <c r="F19" s="495">
        <f t="shared" si="1"/>
        <v>0.995</v>
      </c>
      <c r="G19" s="336" t="str">
        <f t="shared" si="2"/>
        <v>아산</v>
      </c>
      <c r="H19" s="74"/>
      <c r="I19" s="75" t="s">
        <v>27</v>
      </c>
      <c r="J19" s="45">
        <f>+IFERROR(HLOOKUP($B19,'[1]10월'!$D$6:$BN$259,2,),)/1000</f>
        <v>21</v>
      </c>
      <c r="K19" s="46">
        <f>+IFERROR(HLOOKUP($B19,'[2]10월'!$F$6:$CP$99,2,),)/1000</f>
        <v>20.895</v>
      </c>
      <c r="L19" s="47">
        <f t="shared" si="0"/>
        <v>-0.10500000000000043</v>
      </c>
      <c r="M19" s="48">
        <f>+IFERROR(HLOOKUP($B19,'[3]10월'!$F$6:$CC$57,2,),)/1000</f>
        <v>35.142499999999998</v>
      </c>
      <c r="N19" s="49">
        <f t="shared" si="3"/>
        <v>-14.247499999999999</v>
      </c>
      <c r="O19" s="45">
        <f>+IFERROR(HLOOKUP($B19,'[1]10월'!$D$6:$BN$259,3,),)/1000</f>
        <v>2163</v>
      </c>
      <c r="P19" s="46">
        <f>+IFERROR(HLOOKUP($B19,'[2]10월'!$F$6:$CP$99,3,),)/1000</f>
        <v>2010.9688719999999</v>
      </c>
      <c r="Q19" s="47">
        <f t="shared" si="4"/>
        <v>-152.03112800000008</v>
      </c>
      <c r="R19" s="48">
        <f>+IFERROR(HLOOKUP($B19,'[3]10월'!$F$6:$CC$57,3,),)/1000</f>
        <v>3417.0639059999999</v>
      </c>
      <c r="S19" s="49">
        <f t="shared" si="5"/>
        <v>-1406.0950339999999</v>
      </c>
      <c r="T19" s="45">
        <f>+IFERROR(HLOOKUP($B19,'[1]10월'!$D$6:$BN$259,16,),)/1000</f>
        <v>281.7495244003332</v>
      </c>
      <c r="U19" s="46">
        <f>+IFERROR(HLOOKUP($B19,'[2]10월'!$F$6:$CP$99,16,),)/1000</f>
        <v>68.467207999999971</v>
      </c>
      <c r="V19" s="47">
        <f t="shared" si="6"/>
        <v>-213.28231640033323</v>
      </c>
      <c r="W19" s="48">
        <f>+IFERROR(HLOOKUP($B19,'[3]10월'!$F$6:$CC$57,16,),)/1000</f>
        <v>518.1411419999996</v>
      </c>
      <c r="X19" s="49">
        <f t="shared" si="7"/>
        <v>-449.67393399999963</v>
      </c>
      <c r="Y19" s="45">
        <f>+[4]아산!$Q$85</f>
        <v>103000</v>
      </c>
      <c r="Z19" s="46">
        <f>+[4]아산!$R$85</f>
        <v>96241.63062933716</v>
      </c>
      <c r="AA19" s="50">
        <f>+[5]아산!$Q$85</f>
        <v>97210.458376683528</v>
      </c>
      <c r="AB19" s="51">
        <f>+[4]아산!$Q$89</f>
        <v>78015.497349413345</v>
      </c>
      <c r="AC19" s="46">
        <f>+[4]아산!$R$89</f>
        <v>81396.673893319312</v>
      </c>
      <c r="AD19" s="52">
        <f>+[5]아산!$Q$89</f>
        <v>75321.505155518884</v>
      </c>
      <c r="AE19" s="51">
        <f t="shared" si="8"/>
        <v>24984.502650586655</v>
      </c>
      <c r="AF19" s="46">
        <f t="shared" si="8"/>
        <v>14844.956736017848</v>
      </c>
      <c r="AG19" s="52">
        <f t="shared" si="8"/>
        <v>21888.953221164644</v>
      </c>
      <c r="AH19" s="17"/>
      <c r="AI19" s="18"/>
      <c r="AJ19" s="484"/>
      <c r="AK19" s="488"/>
    </row>
    <row r="20" spans="2:39" s="8" customFormat="1" ht="22.5" customHeight="1" x14ac:dyDescent="0.3">
      <c r="B20" s="8" t="s">
        <v>72</v>
      </c>
      <c r="F20" s="495">
        <f t="shared" si="1"/>
        <v>1.1799583333333332</v>
      </c>
      <c r="G20" s="336" t="str">
        <f t="shared" si="2"/>
        <v>전주</v>
      </c>
      <c r="H20" s="74"/>
      <c r="I20" s="75" t="s">
        <v>72</v>
      </c>
      <c r="J20" s="45">
        <f>+IFERROR(HLOOKUP($B20,'[1]10월'!$D$6:$BN$259,2,),)/1000</f>
        <v>12</v>
      </c>
      <c r="K20" s="46">
        <f>+IFERROR(HLOOKUP($B20,'[2]10월'!$F$6:$CP$99,2,),)/1000</f>
        <v>14.1595</v>
      </c>
      <c r="L20" s="47">
        <f t="shared" si="0"/>
        <v>2.1594999999999995</v>
      </c>
      <c r="M20" s="48">
        <f>+IFERROR(HLOOKUP($B20,'[3]10월'!$F$6:$CC$57,2,),)/1000</f>
        <v>9.6694999999999993</v>
      </c>
      <c r="N20" s="49">
        <f t="shared" si="3"/>
        <v>4.49</v>
      </c>
      <c r="O20" s="45">
        <f>+IFERROR(HLOOKUP($B20,'[1]10월'!$D$6:$BN$259,3,),)/1000</f>
        <v>1209.9308700000001</v>
      </c>
      <c r="P20" s="46">
        <f>+IFERROR(HLOOKUP($B20,'[2]10월'!$F$6:$CP$99,3,),)/1000</f>
        <v>1377.1310000000001</v>
      </c>
      <c r="Q20" s="47">
        <f t="shared" si="4"/>
        <v>167.20012999999994</v>
      </c>
      <c r="R20" s="48">
        <f>+IFERROR(HLOOKUP($B20,'[3]10월'!$F$6:$CC$57,3,),)/1000</f>
        <v>921.15986499999997</v>
      </c>
      <c r="S20" s="49">
        <f t="shared" si="5"/>
        <v>455.97113500000012</v>
      </c>
      <c r="T20" s="45">
        <f>+IFERROR(HLOOKUP($B20,'[1]10월'!$D$6:$BN$259,16,),)/1000</f>
        <v>178.63194355114572</v>
      </c>
      <c r="U20" s="46">
        <f>+IFERROR(HLOOKUP($B20,'[2]10월'!$F$6:$CP$99,16,),)/1000</f>
        <v>116.34730200000004</v>
      </c>
      <c r="V20" s="47">
        <f t="shared" si="6"/>
        <v>-62.284641551145683</v>
      </c>
      <c r="W20" s="48">
        <f>+IFERROR(HLOOKUP($B20,'[3]10월'!$F$6:$CC$57,16,),)/1000</f>
        <v>51.295807000000089</v>
      </c>
      <c r="X20" s="49">
        <f t="shared" si="7"/>
        <v>65.05149499999996</v>
      </c>
      <c r="Y20" s="45">
        <f>+[4]전주!$Q$85</f>
        <v>100827.57250000001</v>
      </c>
      <c r="Z20" s="46">
        <f>+[4]전주!$R$85</f>
        <v>97258.448391539248</v>
      </c>
      <c r="AA20" s="50">
        <f>+[5]전주!$Q$85</f>
        <v>95264.477480738409</v>
      </c>
      <c r="AB20" s="51">
        <f>+[4]전주!$Q$89</f>
        <v>73158.251555923052</v>
      </c>
      <c r="AC20" s="46">
        <f>+[4]전주!$R$89</f>
        <v>77596.67719533261</v>
      </c>
      <c r="AD20" s="52">
        <f>+[5]전주!$Q$89</f>
        <v>74505.128703655821</v>
      </c>
      <c r="AE20" s="51">
        <f t="shared" si="8"/>
        <v>27669.320944076957</v>
      </c>
      <c r="AF20" s="46">
        <f t="shared" si="8"/>
        <v>19661.771196206639</v>
      </c>
      <c r="AG20" s="52">
        <f t="shared" si="8"/>
        <v>20759.348777082589</v>
      </c>
      <c r="AH20" s="17"/>
      <c r="AI20" s="18"/>
      <c r="AJ20" s="484"/>
      <c r="AK20" s="488"/>
    </row>
    <row r="21" spans="2:39" s="8" customFormat="1" ht="22.5" customHeight="1" x14ac:dyDescent="0.3">
      <c r="B21" s="8" t="s">
        <v>73</v>
      </c>
      <c r="F21" s="495">
        <f t="shared" si="1"/>
        <v>0.46033333333333337</v>
      </c>
      <c r="G21" s="336" t="str">
        <f t="shared" si="2"/>
        <v>군산</v>
      </c>
      <c r="H21" s="74"/>
      <c r="I21" s="75" t="s">
        <v>73</v>
      </c>
      <c r="J21" s="45">
        <f>+IFERROR(HLOOKUP($B21,'[1]10월'!$D$6:$BN$259,2,),)/1000</f>
        <v>7.5</v>
      </c>
      <c r="K21" s="46">
        <f>+IFERROR(HLOOKUP($B21,'[2]10월'!$F$6:$CP$99,2,),)/1000</f>
        <v>3.4525000000000001</v>
      </c>
      <c r="L21" s="47">
        <f t="shared" si="0"/>
        <v>-4.0474999999999994</v>
      </c>
      <c r="M21" s="48">
        <f>+IFERROR(HLOOKUP($B21,'[3]10월'!$F$6:$CC$57,2,),)/1000</f>
        <v>9.0229999999999997</v>
      </c>
      <c r="N21" s="49">
        <f t="shared" si="3"/>
        <v>-5.5704999999999991</v>
      </c>
      <c r="O21" s="45">
        <f>+IFERROR(HLOOKUP($B21,'[1]10월'!$D$6:$BN$259,3,),)/1000</f>
        <v>832.85380000000009</v>
      </c>
      <c r="P21" s="46">
        <f>+IFERROR(HLOOKUP($B21,'[2]10월'!$F$6:$CP$99,3,),)/1000</f>
        <v>373.21671899999996</v>
      </c>
      <c r="Q21" s="47">
        <f t="shared" si="4"/>
        <v>-459.63708100000014</v>
      </c>
      <c r="R21" s="48">
        <f>+IFERROR(HLOOKUP($B21,'[3]10월'!$F$6:$CC$57,3,),)/1000</f>
        <v>1002.98855</v>
      </c>
      <c r="S21" s="49">
        <f t="shared" si="5"/>
        <v>-629.77183100000002</v>
      </c>
      <c r="T21" s="45">
        <f>+IFERROR(HLOOKUP($B21,'[1]10월'!$D$6:$BN$259,16,),)/1000</f>
        <v>205.06835729126487</v>
      </c>
      <c r="U21" s="46">
        <f>+IFERROR(HLOOKUP($B21,'[2]10월'!$F$6:$CP$99,16,),)/1000</f>
        <v>39.536473999999991</v>
      </c>
      <c r="V21" s="47">
        <f t="shared" si="6"/>
        <v>-165.53188329126488</v>
      </c>
      <c r="W21" s="48">
        <f>+IFERROR(HLOOKUP($B21,'[3]10월'!$F$6:$CC$57,16,),)/1000</f>
        <v>268.545388</v>
      </c>
      <c r="X21" s="49">
        <f t="shared" si="7"/>
        <v>-229.008914</v>
      </c>
      <c r="Y21" s="45">
        <f>+[4]군산!$Q$85</f>
        <v>111047.17333333334</v>
      </c>
      <c r="Z21" s="46">
        <f>+[4]군산!$R$85</f>
        <v>108100.42548877624</v>
      </c>
      <c r="AA21" s="50">
        <f>+[5]군산!$Q$85</f>
        <v>111159.09896930068</v>
      </c>
      <c r="AB21" s="51">
        <f>+[4]군산!$Q$89</f>
        <v>72853.802183386913</v>
      </c>
      <c r="AC21" s="46">
        <f>+[4]군산!$R$89</f>
        <v>72659.812309920351</v>
      </c>
      <c r="AD21" s="52">
        <f>+[5]군산!$Q$89</f>
        <v>72170.11958328716</v>
      </c>
      <c r="AE21" s="51">
        <f t="shared" si="8"/>
        <v>38193.371149946426</v>
      </c>
      <c r="AF21" s="46">
        <f t="shared" si="8"/>
        <v>35440.613178855885</v>
      </c>
      <c r="AG21" s="52">
        <f t="shared" si="8"/>
        <v>38988.979386013525</v>
      </c>
      <c r="AH21" s="17"/>
      <c r="AI21" s="18"/>
      <c r="AJ21" s="484"/>
      <c r="AK21" s="488"/>
    </row>
    <row r="22" spans="2:39" s="8" customFormat="1" ht="22.5" customHeight="1" x14ac:dyDescent="0.3">
      <c r="B22" s="8" t="s">
        <v>74</v>
      </c>
      <c r="F22" s="495">
        <f t="shared" si="1"/>
        <v>0.85899999999999999</v>
      </c>
      <c r="G22" s="336" t="str">
        <f t="shared" si="2"/>
        <v>원주</v>
      </c>
      <c r="H22" s="74"/>
      <c r="I22" s="75" t="s">
        <v>74</v>
      </c>
      <c r="J22" s="45">
        <f>+IFERROR(HLOOKUP($B22,'[1]10월'!$D$6:$BN$259,2,),)/1000</f>
        <v>5</v>
      </c>
      <c r="K22" s="46">
        <f>+IFERROR(HLOOKUP($B22,'[2]10월'!$F$6:$CP$99,2,),)/1000</f>
        <v>4.2949999999999999</v>
      </c>
      <c r="L22" s="47">
        <f t="shared" si="0"/>
        <v>-0.70500000000000007</v>
      </c>
      <c r="M22" s="48">
        <f>+IFERROR(HLOOKUP($B22,'[3]10월'!$F$6:$CC$57,2,),)/1000</f>
        <v>5.5439999999999996</v>
      </c>
      <c r="N22" s="49">
        <f t="shared" si="3"/>
        <v>-1.2489999999999997</v>
      </c>
      <c r="O22" s="45">
        <f>+IFERROR(HLOOKUP($B22,'[1]10월'!$D$6:$BN$259,3,),)/1000</f>
        <v>560</v>
      </c>
      <c r="P22" s="46">
        <f>+IFERROR(HLOOKUP($B22,'[2]10월'!$F$6:$CP$99,3,),)/1000</f>
        <v>473.81819999999999</v>
      </c>
      <c r="Q22" s="47">
        <f t="shared" si="4"/>
        <v>-86.18180000000001</v>
      </c>
      <c r="R22" s="48">
        <f>+IFERROR(HLOOKUP($B22,'[3]10월'!$F$6:$CC$57,3,),)/1000</f>
        <v>603.98327700000004</v>
      </c>
      <c r="S22" s="49">
        <f t="shared" si="5"/>
        <v>-130.16507700000005</v>
      </c>
      <c r="T22" s="45">
        <f>+IFERROR(HLOOKUP($B22,'[1]10월'!$D$6:$BN$259,16,),)/1000</f>
        <v>103.86534141562616</v>
      </c>
      <c r="U22" s="46">
        <f>+IFERROR(HLOOKUP($B22,'[2]10월'!$F$6:$CP$99,16,),)/1000</f>
        <v>85.403376999999978</v>
      </c>
      <c r="V22" s="47">
        <f t="shared" si="6"/>
        <v>-18.461964415626184</v>
      </c>
      <c r="W22" s="48">
        <f>+IFERROR(HLOOKUP($B22,'[3]10월'!$F$6:$CC$57,16,),)/1000</f>
        <v>104.30830999999999</v>
      </c>
      <c r="X22" s="49">
        <f t="shared" si="7"/>
        <v>-18.904933000000014</v>
      </c>
      <c r="Y22" s="45">
        <f>+[4]원주!$Q$85</f>
        <v>112000</v>
      </c>
      <c r="Z22" s="46">
        <f>+[4]원주!$R$85</f>
        <v>110318.55646100116</v>
      </c>
      <c r="AA22" s="50">
        <f>+[5]원주!$Q$85</f>
        <v>108943.59253246753</v>
      </c>
      <c r="AB22" s="51">
        <f>+[4]원주!$Q$89</f>
        <v>73062.219679743255</v>
      </c>
      <c r="AC22" s="46">
        <f>+[4]원주!$R$89</f>
        <v>70416.19487776485</v>
      </c>
      <c r="AD22" s="52">
        <f>+[5]원주!$Q$89</f>
        <v>73906.808441558445</v>
      </c>
      <c r="AE22" s="51">
        <f t="shared" si="8"/>
        <v>38937.780320256745</v>
      </c>
      <c r="AF22" s="46">
        <f t="shared" si="8"/>
        <v>39902.361583236314</v>
      </c>
      <c r="AG22" s="52">
        <f t="shared" si="8"/>
        <v>35036.784090909088</v>
      </c>
      <c r="AH22" s="17"/>
      <c r="AI22" s="18"/>
      <c r="AJ22" s="484"/>
      <c r="AK22" s="488"/>
    </row>
    <row r="23" spans="2:39" s="8" customFormat="1" ht="22.5" customHeight="1" x14ac:dyDescent="0.3">
      <c r="B23" s="8" t="s">
        <v>75</v>
      </c>
      <c r="F23" s="495">
        <f t="shared" si="1"/>
        <v>0.46500000000000002</v>
      </c>
      <c r="G23" s="334" t="str">
        <f t="shared" si="2"/>
        <v>제주</v>
      </c>
      <c r="H23" s="74"/>
      <c r="I23" s="75" t="s">
        <v>75</v>
      </c>
      <c r="J23" s="45">
        <f>+IFERROR(HLOOKUP($B23,'[1]10월'!$D$6:$BN$259,2,),)/1000</f>
        <v>8</v>
      </c>
      <c r="K23" s="46">
        <f>+IFERROR(HLOOKUP($B23,'[2]10월'!$F$6:$CP$99,2,),)/1000</f>
        <v>3.72</v>
      </c>
      <c r="L23" s="47">
        <f t="shared" si="0"/>
        <v>-4.2799999999999994</v>
      </c>
      <c r="M23" s="48">
        <f>+IFERROR(HLOOKUP($B23,'[3]10월'!$F$6:$CC$57,2,),)/1000</f>
        <v>3.0470000000000002</v>
      </c>
      <c r="N23" s="49">
        <f t="shared" si="3"/>
        <v>0.67300000000000004</v>
      </c>
      <c r="O23" s="45">
        <f>+IFERROR(HLOOKUP($B23,'[1]10월'!$D$6:$BN$259,3,),)/1000</f>
        <v>980.90800000000002</v>
      </c>
      <c r="P23" s="46">
        <f>+IFERROR(HLOOKUP($B23,'[2]10월'!$F$6:$CP$99,3,),)/1000</f>
        <v>470.50296900000001</v>
      </c>
      <c r="Q23" s="47">
        <f t="shared" si="4"/>
        <v>-510.40503100000001</v>
      </c>
      <c r="R23" s="48">
        <f>+IFERROR(HLOOKUP($B23,'[3]10월'!$F$6:$CC$57,3,),)/1000</f>
        <v>366.41406800000004</v>
      </c>
      <c r="S23" s="49">
        <f t="shared" si="5"/>
        <v>104.08890099999996</v>
      </c>
      <c r="T23" s="45">
        <f>+IFERROR(HLOOKUP($B23,'[1]10월'!$D$6:$BN$259,16,),)/1000</f>
        <v>150.10858815339208</v>
      </c>
      <c r="U23" s="46">
        <f>+IFERROR(HLOOKUP($B23,'[2]10월'!$F$6:$CP$99,16,),)/1000</f>
        <v>-10.04498800000002</v>
      </c>
      <c r="V23" s="47">
        <f t="shared" si="6"/>
        <v>-160.15357615339209</v>
      </c>
      <c r="W23" s="48">
        <f>+IFERROR(HLOOKUP($B23,'[3]10월'!$F$6:$CC$57,16,),)/1000</f>
        <v>4.7940700000000502</v>
      </c>
      <c r="X23" s="49">
        <f t="shared" si="7"/>
        <v>-14.839058000000069</v>
      </c>
      <c r="Y23" s="45">
        <f>+[4]제주!$Q$85</f>
        <v>122613.5</v>
      </c>
      <c r="Z23" s="46">
        <f>+[4]제주!$R$85</f>
        <v>126350.89045643153</v>
      </c>
      <c r="AA23" s="50">
        <f>+[5]제주!$Q$85</f>
        <v>120254.04266491633</v>
      </c>
      <c r="AB23" s="51">
        <f>+[4]제주!$Q$89</f>
        <v>91127.321153324228</v>
      </c>
      <c r="AC23" s="46">
        <f>+[4]제주!$R$89</f>
        <v>99085.226707215916</v>
      </c>
      <c r="AD23" s="52">
        <f>+[5]제주!$Q$89</f>
        <v>91133.112085769986</v>
      </c>
      <c r="AE23" s="51">
        <f t="shared" si="8"/>
        <v>31486.178846675772</v>
      </c>
      <c r="AF23" s="46">
        <f t="shared" si="8"/>
        <v>27265.663749215615</v>
      </c>
      <c r="AG23" s="52">
        <f t="shared" si="8"/>
        <v>29120.930579146341</v>
      </c>
      <c r="AH23" s="17"/>
      <c r="AI23" s="18"/>
      <c r="AJ23" s="484"/>
      <c r="AK23" s="488"/>
    </row>
    <row r="24" spans="2:39" s="8" customFormat="1" ht="22.5" customHeight="1" x14ac:dyDescent="0.3">
      <c r="F24" s="495">
        <f>+K24/J24</f>
        <v>0.82314062500000007</v>
      </c>
      <c r="G24" s="337" t="str">
        <f t="shared" si="2"/>
        <v>수도권</v>
      </c>
      <c r="H24" s="74"/>
      <c r="I24" s="78" t="s">
        <v>42</v>
      </c>
      <c r="J24" s="22">
        <f>SUM(J7:J10)</f>
        <v>96</v>
      </c>
      <c r="K24" s="19">
        <f>SUM(K7:K10)</f>
        <v>79.021500000000003</v>
      </c>
      <c r="L24" s="20">
        <f t="shared" si="0"/>
        <v>-16.978499999999997</v>
      </c>
      <c r="M24" s="24">
        <f>SUM(M7:M10)</f>
        <v>103.90999999999998</v>
      </c>
      <c r="N24" s="21">
        <f t="shared" si="3"/>
        <v>-24.888499999999979</v>
      </c>
      <c r="O24" s="22">
        <f>SUM(O7:O10)</f>
        <v>9606.6544351409393</v>
      </c>
      <c r="P24" s="19">
        <f>SUM(P7:P10)</f>
        <v>7480.3883159999996</v>
      </c>
      <c r="Q24" s="20">
        <f t="shared" si="4"/>
        <v>-2126.2661191409397</v>
      </c>
      <c r="R24" s="24">
        <f>SUM(R7:R10)</f>
        <v>9713.520011999999</v>
      </c>
      <c r="S24" s="21">
        <f t="shared" si="5"/>
        <v>-2233.1316959999995</v>
      </c>
      <c r="T24" s="22">
        <f>SUM(T7:T10)</f>
        <v>827.85556847410874</v>
      </c>
      <c r="U24" s="19">
        <f>SUM(U7:U10)</f>
        <v>72.705947009999875</v>
      </c>
      <c r="V24" s="20">
        <f t="shared" si="6"/>
        <v>-755.1496214641088</v>
      </c>
      <c r="W24" s="24">
        <f>SUM(W7:W10)</f>
        <v>363.42567899999938</v>
      </c>
      <c r="X24" s="21">
        <f t="shared" si="7"/>
        <v>-290.7197319899995</v>
      </c>
      <c r="Y24" s="22">
        <f>+[4]수도권!$Q$85</f>
        <v>100069.31703271811</v>
      </c>
      <c r="Z24" s="19">
        <f>+[4]수도권!$R$85</f>
        <v>94672.854300716004</v>
      </c>
      <c r="AA24" s="23">
        <f>+[5]수도권!$Q$85</f>
        <v>93480.665857137355</v>
      </c>
      <c r="AB24" s="28">
        <f>+[4]수도권!$Q$89</f>
        <v>81319.970023102331</v>
      </c>
      <c r="AC24" s="19">
        <f>+[4]수도권!$R$89</f>
        <v>80864.399781199711</v>
      </c>
      <c r="AD24" s="29">
        <f>+[5]수도권!$Q$89</f>
        <v>80496.449431627421</v>
      </c>
      <c r="AE24" s="28">
        <f t="shared" si="8"/>
        <v>18749.347009615783</v>
      </c>
      <c r="AF24" s="19">
        <f t="shared" si="8"/>
        <v>13808.454519516294</v>
      </c>
      <c r="AG24" s="29">
        <f t="shared" si="8"/>
        <v>12984.216425509934</v>
      </c>
      <c r="AH24" s="17"/>
      <c r="AI24" s="18"/>
      <c r="AJ24" s="484"/>
      <c r="AK24" s="488"/>
    </row>
    <row r="25" spans="2:39" s="8" customFormat="1" ht="22.5" customHeight="1" x14ac:dyDescent="0.3">
      <c r="F25" s="495">
        <f>+K25/J25</f>
        <v>0.70944268774703567</v>
      </c>
      <c r="G25" s="334" t="str">
        <f t="shared" si="2"/>
        <v>영남권</v>
      </c>
      <c r="H25" s="74"/>
      <c r="I25" s="78" t="s">
        <v>43</v>
      </c>
      <c r="J25" s="22">
        <f>SUM(J11:J18)</f>
        <v>126.5</v>
      </c>
      <c r="K25" s="19">
        <f>SUM(K11:K18)</f>
        <v>89.744500000000016</v>
      </c>
      <c r="L25" s="20">
        <f t="shared" si="0"/>
        <v>-36.755499999999984</v>
      </c>
      <c r="M25" s="24">
        <f>SUM(M11:M18)</f>
        <v>130.221</v>
      </c>
      <c r="N25" s="21">
        <f t="shared" si="3"/>
        <v>-40.476499999999987</v>
      </c>
      <c r="O25" s="22">
        <f>SUM(O11:O18)</f>
        <v>12713.985387340697</v>
      </c>
      <c r="P25" s="19">
        <f>SUM(P11:P18)</f>
        <v>8957.9259819999988</v>
      </c>
      <c r="Q25" s="20">
        <f t="shared" si="4"/>
        <v>-3756.0594053406985</v>
      </c>
      <c r="R25" s="24">
        <f>SUM(R11:R18)</f>
        <v>12503.421849</v>
      </c>
      <c r="S25" s="21">
        <f t="shared" si="5"/>
        <v>-3545.4958670000015</v>
      </c>
      <c r="T25" s="22">
        <f>SUM(T11:T18)</f>
        <v>1245.3515202977658</v>
      </c>
      <c r="U25" s="19">
        <f>SUM(U11:U18)</f>
        <v>179.44382499999995</v>
      </c>
      <c r="V25" s="20">
        <f t="shared" si="6"/>
        <v>-1065.9076952977657</v>
      </c>
      <c r="W25" s="24">
        <f>SUM(W11:W18)</f>
        <v>830.76103799999987</v>
      </c>
      <c r="X25" s="21">
        <f t="shared" si="7"/>
        <v>-651.31721299999992</v>
      </c>
      <c r="Y25" s="22">
        <f>+[4]영남권!$Q$85</f>
        <v>100505.81333866165</v>
      </c>
      <c r="Z25" s="19">
        <f>+[4]영남권!$R$85</f>
        <v>99815.877095532327</v>
      </c>
      <c r="AA25" s="23">
        <f>+[5]영남권!$Q$85</f>
        <v>96016.648996705597</v>
      </c>
      <c r="AB25" s="28">
        <f>+[4]영남권!$Q$89</f>
        <v>78927.232507543013</v>
      </c>
      <c r="AC25" s="19">
        <f>+[4]영남권!$R$89</f>
        <v>81714.807952476651</v>
      </c>
      <c r="AD25" s="29">
        <f>+[5]영남권!$Q$89</f>
        <v>78191.758310460515</v>
      </c>
      <c r="AE25" s="28">
        <f t="shared" si="8"/>
        <v>21578.580831118641</v>
      </c>
      <c r="AF25" s="19">
        <f t="shared" si="8"/>
        <v>18101.069143055676</v>
      </c>
      <c r="AG25" s="29">
        <f t="shared" si="8"/>
        <v>17824.890686245082</v>
      </c>
      <c r="AH25" s="17"/>
      <c r="AI25" s="18"/>
      <c r="AJ25" s="484"/>
      <c r="AK25" s="488"/>
    </row>
    <row r="26" spans="2:39" s="8" customFormat="1" ht="22.5" customHeight="1" x14ac:dyDescent="0.3">
      <c r="F26" s="495">
        <f>+K26/J26</f>
        <v>0.86957009345794389</v>
      </c>
      <c r="G26" s="334" t="str">
        <f t="shared" si="2"/>
        <v>중부권</v>
      </c>
      <c r="H26" s="74"/>
      <c r="I26" s="78" t="s">
        <v>106</v>
      </c>
      <c r="J26" s="22">
        <f>SUM(J19:J23)</f>
        <v>53.5</v>
      </c>
      <c r="K26" s="19">
        <f>SUM(K19:K23)</f>
        <v>46.521999999999998</v>
      </c>
      <c r="L26" s="20">
        <f t="shared" si="0"/>
        <v>-6.9780000000000015</v>
      </c>
      <c r="M26" s="24">
        <f>SUM(M19:M23)</f>
        <v>62.425999999999988</v>
      </c>
      <c r="N26" s="21">
        <f t="shared" si="3"/>
        <v>-15.903999999999989</v>
      </c>
      <c r="O26" s="22">
        <f>SUM(O19:O23)</f>
        <v>5746.6926700000004</v>
      </c>
      <c r="P26" s="19">
        <f>SUM(P19:P23)</f>
        <v>4705.6377599999996</v>
      </c>
      <c r="Q26" s="20">
        <f t="shared" si="4"/>
        <v>-1041.0549100000007</v>
      </c>
      <c r="R26" s="24">
        <f>SUM(R19:R23)</f>
        <v>6311.6096660000003</v>
      </c>
      <c r="S26" s="21">
        <f t="shared" si="5"/>
        <v>-1605.9719060000007</v>
      </c>
      <c r="T26" s="22">
        <f>SUM(T19:T23)</f>
        <v>919.42375481176214</v>
      </c>
      <c r="U26" s="19">
        <f>SUM(U19:U23)</f>
        <v>299.70937299999997</v>
      </c>
      <c r="V26" s="20">
        <f t="shared" si="6"/>
        <v>-619.71438181176222</v>
      </c>
      <c r="W26" s="24">
        <f>SUM(W19:W23)</f>
        <v>947.08471699999973</v>
      </c>
      <c r="X26" s="21">
        <f t="shared" si="7"/>
        <v>-647.37534399999981</v>
      </c>
      <c r="Y26" s="22">
        <f>+[4]중부권!$Q$85</f>
        <v>107414.81626168225</v>
      </c>
      <c r="Z26" s="19">
        <f>+[4]중부권!$R$85</f>
        <v>101081.35510696511</v>
      </c>
      <c r="AA26" s="23">
        <f>+[5]중부권!$Q$85</f>
        <v>101095.65574191067</v>
      </c>
      <c r="AB26" s="28">
        <f>+[4]중부권!$Q$89</f>
        <v>77700.142934756426</v>
      </c>
      <c r="AC26" s="19">
        <f>+[4]중부권!$R$89</f>
        <v>79950.247219772413</v>
      </c>
      <c r="AD26" s="29">
        <f>+[5]중부권!$Q$89</f>
        <v>75393.476845256198</v>
      </c>
      <c r="AE26" s="28">
        <f t="shared" si="8"/>
        <v>29714.673326925826</v>
      </c>
      <c r="AF26" s="19">
        <f t="shared" si="8"/>
        <v>21131.107887192702</v>
      </c>
      <c r="AG26" s="29">
        <f t="shared" si="8"/>
        <v>25702.17889665447</v>
      </c>
      <c r="AH26" s="17"/>
      <c r="AI26" s="18"/>
      <c r="AJ26" s="484"/>
      <c r="AK26" s="488"/>
    </row>
    <row r="27" spans="2:39" s="3" customFormat="1" ht="22.5" customHeight="1" x14ac:dyDescent="0.3">
      <c r="B27" s="25"/>
      <c r="F27" s="483">
        <f>+K27/M27</f>
        <v>0.72595824748699256</v>
      </c>
      <c r="G27" s="336">
        <f>+K27/J27</f>
        <v>0.78002898550724642</v>
      </c>
      <c r="H27" s="267" t="s">
        <v>94</v>
      </c>
      <c r="I27" s="268"/>
      <c r="J27" s="269">
        <f>SUM(J24:J26)</f>
        <v>276</v>
      </c>
      <c r="K27" s="270">
        <f>SUM(K24:K26)</f>
        <v>215.28800000000001</v>
      </c>
      <c r="L27" s="271">
        <f t="shared" si="0"/>
        <v>-60.711999999999989</v>
      </c>
      <c r="M27" s="272">
        <f>SUM(M24:M26)</f>
        <v>296.55699999999996</v>
      </c>
      <c r="N27" s="273">
        <f t="shared" si="3"/>
        <v>-81.268999999999949</v>
      </c>
      <c r="O27" s="269">
        <f>SUM(O24:O26)</f>
        <v>28067.332492481637</v>
      </c>
      <c r="P27" s="270">
        <f>SUM(P24:P26)</f>
        <v>21143.952057999995</v>
      </c>
      <c r="Q27" s="271">
        <f t="shared" si="4"/>
        <v>-6923.3804344816417</v>
      </c>
      <c r="R27" s="272">
        <f>SUM(R24:R26)</f>
        <v>28528.551527</v>
      </c>
      <c r="S27" s="273">
        <f t="shared" si="5"/>
        <v>-7384.5994690000043</v>
      </c>
      <c r="T27" s="269">
        <f>SUM(T24:T26)</f>
        <v>2992.6308435836368</v>
      </c>
      <c r="U27" s="270">
        <f>SUM(U24:U26)</f>
        <v>551.85914500999979</v>
      </c>
      <c r="V27" s="271">
        <f t="shared" si="6"/>
        <v>-2440.771698573637</v>
      </c>
      <c r="W27" s="272">
        <f>SUM(W24:W26)</f>
        <v>2141.2714339999989</v>
      </c>
      <c r="X27" s="273">
        <f t="shared" si="7"/>
        <v>-1589.4122889899991</v>
      </c>
      <c r="Y27" s="269">
        <f>+[4]합계!$Q$85</f>
        <v>101693.23366841172</v>
      </c>
      <c r="Z27" s="270">
        <f>+[4]합계!$R$85</f>
        <v>98207.724138894569</v>
      </c>
      <c r="AA27" s="274">
        <f>+[5]합계!$Q$85</f>
        <v>96197.561428846195</v>
      </c>
      <c r="AB27" s="275">
        <f>+[4]합계!$Q$89</f>
        <v>79521.629280548848</v>
      </c>
      <c r="AC27" s="270">
        <f>+[4]합계!$R$89</f>
        <v>81022.029296257009</v>
      </c>
      <c r="AD27" s="276">
        <f>+[5]합계!$Q$89</f>
        <v>78411.450680820199</v>
      </c>
      <c r="AE27" s="275">
        <f t="shared" si="8"/>
        <v>22171.60438786287</v>
      </c>
      <c r="AF27" s="270">
        <f t="shared" si="8"/>
        <v>17185.69484263756</v>
      </c>
      <c r="AG27" s="276">
        <f t="shared" si="8"/>
        <v>17786.110748025996</v>
      </c>
      <c r="AH27" s="26"/>
      <c r="AI27" s="493">
        <f>+AF27-AE27</f>
        <v>-4985.9095452253096</v>
      </c>
      <c r="AJ27" s="494">
        <f>+AF27-AG27</f>
        <v>-600.41590538843593</v>
      </c>
      <c r="AK27" s="488"/>
      <c r="AL27" s="25"/>
    </row>
    <row r="28" spans="2:39" s="8" customFormat="1" ht="22.5" customHeight="1" x14ac:dyDescent="0.3">
      <c r="B28" s="8" t="s">
        <v>115</v>
      </c>
      <c r="C28" s="73" t="s">
        <v>46</v>
      </c>
      <c r="F28" s="495">
        <f>+K28/J28</f>
        <v>0.84004284673798457</v>
      </c>
      <c r="G28" s="335" t="str">
        <f>+I28</f>
        <v>부산모래장</v>
      </c>
      <c r="H28" s="80" t="s">
        <v>1</v>
      </c>
      <c r="I28" s="73" t="s">
        <v>115</v>
      </c>
      <c r="J28" s="55">
        <f>+IFERROR(HLOOKUP($B28,'[1]10월'!$D$6:$BN$259,2,),)/1000</f>
        <v>22.914307376994902</v>
      </c>
      <c r="K28" s="56">
        <f>+IFERROR(HLOOKUP($C28,'[2]10월'!$F$6:$CP$99,2,),)/1000</f>
        <v>19.248999999999999</v>
      </c>
      <c r="L28" s="37">
        <f t="shared" si="0"/>
        <v>-3.6653073769949032</v>
      </c>
      <c r="M28" s="37">
        <f>+IFERROR(HLOOKUP($C28,'[3]10월'!$F$6:$CC$57,2,),)/1000</f>
        <v>20.119</v>
      </c>
      <c r="N28" s="57">
        <f t="shared" si="3"/>
        <v>-0.87000000000000099</v>
      </c>
      <c r="O28" s="55">
        <f>+IFERROR(HLOOKUP($B28,'[1]10월'!$D$6:$BN$259,3,),)/1000</f>
        <v>620.32426732634303</v>
      </c>
      <c r="P28" s="56">
        <f>+IFERROR(HLOOKUP($C28,'[2]10월'!$F$6:$CP$99,3,),)/1000</f>
        <v>548.13340000000005</v>
      </c>
      <c r="Q28" s="37">
        <f t="shared" si="4"/>
        <v>-72.190867326342982</v>
      </c>
      <c r="R28" s="37">
        <f>+IFERROR(HLOOKUP($C28,'[3]10월'!$F$6:$CC$57,3,),)/1000</f>
        <v>571.11</v>
      </c>
      <c r="S28" s="57">
        <f t="shared" si="5"/>
        <v>-22.976599999999962</v>
      </c>
      <c r="T28" s="55">
        <f>+IFERROR(HLOOKUP($B28,'[1]10월'!$D$6:$BN$259,21,),)/1000</f>
        <v>50.573899871655534</v>
      </c>
      <c r="U28" s="56">
        <f>+IFERROR(HLOOKUP($C28,'[2]10월'!$F$6:$CP$99,21,),)/1000</f>
        <v>15.814881353425328</v>
      </c>
      <c r="V28" s="37">
        <f t="shared" si="6"/>
        <v>-34.759018518230206</v>
      </c>
      <c r="W28" s="37">
        <f>+IFERROR(HLOOKUP($C28,'[3]10월'!$F$6:$CC$57,21,),)/1000</f>
        <v>53.934357068743452</v>
      </c>
      <c r="X28" s="57">
        <f t="shared" si="7"/>
        <v>-38.119475715318124</v>
      </c>
      <c r="Y28" s="287" t="s">
        <v>109</v>
      </c>
      <c r="Z28" s="498"/>
      <c r="AA28" s="498"/>
      <c r="AB28" s="499"/>
      <c r="AC28" s="498"/>
      <c r="AD28" s="498"/>
      <c r="AE28" s="498"/>
      <c r="AF28" s="498"/>
      <c r="AG28" s="42"/>
      <c r="AH28" s="17"/>
      <c r="AI28" s="18"/>
      <c r="AJ28" s="484"/>
      <c r="AK28" s="488"/>
    </row>
    <row r="29" spans="2:39" s="8" customFormat="1" ht="22.5" customHeight="1" x14ac:dyDescent="0.3">
      <c r="B29" s="8" t="s">
        <v>116</v>
      </c>
      <c r="C29" s="75" t="s">
        <v>47</v>
      </c>
      <c r="F29" s="495">
        <f t="shared" ref="F29:F30" si="9">+K29/J29</f>
        <v>0.70395107763330278</v>
      </c>
      <c r="G29" s="335" t="str">
        <f>+I29</f>
        <v>서부산CR</v>
      </c>
      <c r="H29" s="79"/>
      <c r="I29" s="75" t="s">
        <v>124</v>
      </c>
      <c r="J29" s="53">
        <f>+IFERROR(HLOOKUP($B29,'[1]10월'!$D$6:$BN$259,2,),)/1000</f>
        <v>45.741815053763439</v>
      </c>
      <c r="K29" s="58">
        <f>+IFERROR(HLOOKUP($C29,'[2]10월'!$F$6:$CP$99,2,),)/1000</f>
        <v>32.200000000000003</v>
      </c>
      <c r="L29" s="47">
        <f t="shared" si="0"/>
        <v>-13.541815053763436</v>
      </c>
      <c r="M29" s="47">
        <f>+IFERROR(HLOOKUP($C29,'[3]10월'!$F$6:$CC$57,2,),)/1000</f>
        <v>1.36</v>
      </c>
      <c r="N29" s="59">
        <f t="shared" si="3"/>
        <v>30.840000000000003</v>
      </c>
      <c r="O29" s="53">
        <f>+IFERROR(HLOOKUP($B29,'[1]10월'!$D$6:$BN$259,3,),)/1000</f>
        <v>659.92864086021507</v>
      </c>
      <c r="P29" s="58">
        <f>+IFERROR(HLOOKUP($C29,'[2]10월'!$F$6:$CP$99,3,),)/1000</f>
        <v>415.68799999999999</v>
      </c>
      <c r="Q29" s="47">
        <f t="shared" si="4"/>
        <v>-244.24064086021508</v>
      </c>
      <c r="R29" s="47">
        <f>+IFERROR(HLOOKUP($C29,'[3]10월'!$F$6:$CC$57,3,),)/1000</f>
        <v>15.64</v>
      </c>
      <c r="S29" s="59">
        <f t="shared" si="5"/>
        <v>400.048</v>
      </c>
      <c r="T29" s="53">
        <f>+IFERROR(HLOOKUP($B29,'[1]10월'!$D$6:$BN$259,21,),)/1000</f>
        <v>81.628816086054499</v>
      </c>
      <c r="U29" s="58">
        <f>+IFERROR(HLOOKUP($C29,'[2]10월'!$F$6:$CP$99,21,),)/1000</f>
        <v>-36.946807887994275</v>
      </c>
      <c r="V29" s="47">
        <f t="shared" si="6"/>
        <v>-118.57562397404877</v>
      </c>
      <c r="W29" s="47">
        <f>+IFERROR(HLOOKUP($C29,'[3]10월'!$F$6:$CC$57,21,),)/1000</f>
        <v>-83.948514345143408</v>
      </c>
      <c r="X29" s="59">
        <f t="shared" si="7"/>
        <v>47.001706457149133</v>
      </c>
      <c r="Y29" s="496" t="s">
        <v>224</v>
      </c>
      <c r="Z29" s="229"/>
      <c r="AA29" s="229"/>
      <c r="AB29" s="229"/>
      <c r="AC29" s="229"/>
      <c r="AD29" s="229"/>
      <c r="AE29" s="229"/>
      <c r="AF29" s="229"/>
      <c r="AG29" s="50"/>
      <c r="AH29" s="17"/>
      <c r="AI29" s="18"/>
      <c r="AJ29" s="485"/>
      <c r="AK29" s="488"/>
      <c r="AL29" s="86"/>
    </row>
    <row r="30" spans="2:39" s="8" customFormat="1" ht="22.5" customHeight="1" x14ac:dyDescent="0.3">
      <c r="B30" s="8" t="s">
        <v>111</v>
      </c>
      <c r="C30" s="77" t="s">
        <v>111</v>
      </c>
      <c r="F30" s="495">
        <f t="shared" si="9"/>
        <v>0.38269476580263301</v>
      </c>
      <c r="G30" s="335" t="str">
        <f>+I30</f>
        <v>부산CR</v>
      </c>
      <c r="H30" s="79"/>
      <c r="I30" s="77" t="s">
        <v>125</v>
      </c>
      <c r="J30" s="53">
        <f>+IFERROR(HLOOKUP($B30,'[1]10월'!$D$6:$BN$259,2,),)/1000</f>
        <v>39.561554933333333</v>
      </c>
      <c r="K30" s="58">
        <f>+IFERROR(HLOOKUP($C30,'[2]10월'!$F$6:$CP$99,2,),)/1000</f>
        <v>15.14</v>
      </c>
      <c r="L30" s="47">
        <f t="shared" si="0"/>
        <v>-24.421554933333333</v>
      </c>
      <c r="M30" s="47">
        <f>+IFERROR(HLOOKUP($C30,'[3]10월'!$F$6:$CC$57,2,),)/1000</f>
        <v>38.610999999999997</v>
      </c>
      <c r="N30" s="59">
        <f t="shared" si="3"/>
        <v>-23.470999999999997</v>
      </c>
      <c r="O30" s="53">
        <f>+IFERROR(HLOOKUP($B30,'[1]10월'!$D$6:$BN$259,3,),)/1000</f>
        <v>666.40658400000007</v>
      </c>
      <c r="P30" s="58">
        <f>+IFERROR(HLOOKUP($C30,'[2]10월'!$F$6:$CP$99,3,),)/1000</f>
        <v>297.08440000000002</v>
      </c>
      <c r="Q30" s="47">
        <f t="shared" si="4"/>
        <v>-369.32218400000005</v>
      </c>
      <c r="R30" s="47">
        <f>+IFERROR(HLOOKUP($C30,'[3]10월'!$F$6:$CC$57,3,),)/1000</f>
        <v>659.06849999999997</v>
      </c>
      <c r="S30" s="59">
        <f t="shared" si="5"/>
        <v>-361.98409999999996</v>
      </c>
      <c r="T30" s="53">
        <f>+IFERROR(HLOOKUP($B30,'[1]10월'!$D$6:$BN$259,21,),)/1000</f>
        <v>77.614008674766396</v>
      </c>
      <c r="U30" s="58">
        <f>+IFERROR(HLOOKUP($C30,'[2]10월'!$F$6:$CP$99,21,),)/1000</f>
        <v>-101.49149872999993</v>
      </c>
      <c r="V30" s="47">
        <f t="shared" si="6"/>
        <v>-179.10550740476634</v>
      </c>
      <c r="W30" s="47">
        <f>+IFERROR(HLOOKUP($C30,'[3]10월'!$F$6:$CC$57,21,),)/1000</f>
        <v>-119.94369382000009</v>
      </c>
      <c r="X30" s="59">
        <f t="shared" si="7"/>
        <v>18.45219509000016</v>
      </c>
      <c r="Y30" s="496"/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485"/>
      <c r="AK30" s="488"/>
      <c r="AL30" s="86"/>
    </row>
    <row r="31" spans="2:39" s="3" customFormat="1" ht="22.5" customHeight="1" x14ac:dyDescent="0.3">
      <c r="G31" s="339">
        <f>+K31/J31</f>
        <v>0.61532460889883478</v>
      </c>
      <c r="H31" s="134" t="s">
        <v>33</v>
      </c>
      <c r="I31" s="135"/>
      <c r="J31" s="136">
        <f>SUM(J28:J30)</f>
        <v>108.21767736409168</v>
      </c>
      <c r="K31" s="140">
        <f>SUM(K28:K30)</f>
        <v>66.588999999999999</v>
      </c>
      <c r="L31" s="138">
        <f t="shared" si="0"/>
        <v>-41.628677364091686</v>
      </c>
      <c r="M31" s="138">
        <f>SUM(M28:M30)</f>
        <v>60.089999999999996</v>
      </c>
      <c r="N31" s="139">
        <f t="shared" si="3"/>
        <v>6.4990000000000023</v>
      </c>
      <c r="O31" s="136">
        <f>SUM(O28:O30)</f>
        <v>1946.6594921865583</v>
      </c>
      <c r="P31" s="140">
        <f>SUM(P28:P30)</f>
        <v>1260.9058</v>
      </c>
      <c r="Q31" s="138">
        <f t="shared" si="4"/>
        <v>-685.75369218655828</v>
      </c>
      <c r="R31" s="138">
        <f>SUM(R28:R30)</f>
        <v>1245.8184999999999</v>
      </c>
      <c r="S31" s="139">
        <f t="shared" si="5"/>
        <v>15.087300000000141</v>
      </c>
      <c r="T31" s="136">
        <f>SUM(T28:T30)</f>
        <v>209.81672463247645</v>
      </c>
      <c r="U31" s="140">
        <f>SUM(U28:U30)</f>
        <v>-122.62342526456888</v>
      </c>
      <c r="V31" s="138">
        <f t="shared" si="6"/>
        <v>-332.44014989704533</v>
      </c>
      <c r="W31" s="138">
        <f>SUM(W28:W30)</f>
        <v>-149.95785109640005</v>
      </c>
      <c r="X31" s="139">
        <f t="shared" si="7"/>
        <v>27.334425831831169</v>
      </c>
      <c r="Y31" s="496"/>
      <c r="Z31" s="229"/>
      <c r="AA31" s="229"/>
      <c r="AB31" s="229"/>
      <c r="AC31" s="229"/>
      <c r="AD31" s="229"/>
      <c r="AE31" s="229"/>
      <c r="AF31" s="229"/>
      <c r="AG31" s="50"/>
      <c r="AH31" s="26"/>
      <c r="AI31" s="27"/>
      <c r="AJ31" s="486"/>
      <c r="AK31" s="484"/>
      <c r="AL31" s="489"/>
      <c r="AM31" s="486"/>
    </row>
    <row r="32" spans="2:39" s="8" customFormat="1" ht="22.5" customHeight="1" x14ac:dyDescent="0.3">
      <c r="B32" s="8" t="s">
        <v>119</v>
      </c>
      <c r="C32" s="8" t="s">
        <v>118</v>
      </c>
      <c r="D32" t="s">
        <v>117</v>
      </c>
      <c r="E32" t="s">
        <v>81</v>
      </c>
      <c r="F32"/>
      <c r="G32" s="334" t="str">
        <f>+I32</f>
        <v>레미콘임대</v>
      </c>
      <c r="H32" s="83" t="s">
        <v>4</v>
      </c>
      <c r="I32" s="82" t="s">
        <v>80</v>
      </c>
      <c r="J32" s="45"/>
      <c r="K32" s="46"/>
      <c r="L32" s="48">
        <f>+K32-J32</f>
        <v>0</v>
      </c>
      <c r="M32" s="47"/>
      <c r="N32" s="59">
        <f>+K32-M32</f>
        <v>0</v>
      </c>
      <c r="O32" s="45">
        <f>(IFERROR(HLOOKUP($B32,'[1]10월'!$D$6:$BN$259,3,),)++IFERROR(HLOOKUP($C32,'[1]10월'!$D$6:$BN$259,3,),)+IFERROR(HLOOKUP($D32,'[1]10월'!$D$6:$BN$259,3,),))/1000</f>
        <v>66.666666666666671</v>
      </c>
      <c r="P32" s="46">
        <f>+IFERROR(HLOOKUP($E32,'[2]10월'!$F$6:$CP$99,3,),)/1000</f>
        <v>43.34</v>
      </c>
      <c r="Q32" s="48">
        <f t="shared" si="4"/>
        <v>-23.326666666666668</v>
      </c>
      <c r="R32" s="47">
        <f>+IFERROR(HLOOKUP($E32,'[3]10월'!$F$6:$CC$57,3,),)/1000</f>
        <v>90.84</v>
      </c>
      <c r="S32" s="59">
        <f t="shared" si="5"/>
        <v>-47.5</v>
      </c>
      <c r="T32" s="45">
        <f>(IFERROR(HLOOKUP($B32,'[1]10월'!$D$6:$BN$259,21,),)++IFERROR(HLOOKUP($C32,'[1]10월'!$D$6:$BN$259,21,),)+IFERROR(HLOOKUP($D32,'[1]10월'!$D$6:$BN$259,21,),))/1000</f>
        <v>48.278887666666662</v>
      </c>
      <c r="U32" s="46">
        <f>+IFERROR(HLOOKUP($E32,'[2]10월'!$F$6:$CP$99,16,),)/1000</f>
        <v>23.592101</v>
      </c>
      <c r="V32" s="48">
        <f t="shared" si="6"/>
        <v>-24.686786666666663</v>
      </c>
      <c r="W32" s="47">
        <f>+IFERROR(HLOOKUP($E32,'[3]10월'!$F$6:$CC$57,16,),)/1000</f>
        <v>71.167959999999994</v>
      </c>
      <c r="X32" s="59">
        <f t="shared" si="7"/>
        <v>-47.575858999999994</v>
      </c>
      <c r="Y32" s="496"/>
      <c r="Z32" s="229"/>
      <c r="AA32" s="229"/>
      <c r="AB32" s="229"/>
      <c r="AC32" s="229"/>
      <c r="AD32" s="229"/>
      <c r="AE32" s="229"/>
      <c r="AF32" s="229"/>
      <c r="AG32" s="50"/>
      <c r="AH32" s="17"/>
      <c r="AI32" s="18"/>
      <c r="AJ32" s="484"/>
      <c r="AK32" s="488"/>
    </row>
    <row r="33" spans="2:43" s="8" customFormat="1" ht="22.5" customHeight="1" x14ac:dyDescent="0.3">
      <c r="B33" s="8" t="s">
        <v>120</v>
      </c>
      <c r="C33" s="8" t="s">
        <v>121</v>
      </c>
      <c r="D33"/>
      <c r="E33" t="s">
        <v>31</v>
      </c>
      <c r="F33"/>
      <c r="G33" s="334" t="str">
        <f t="shared" ref="G33:G38" si="10">+I33</f>
        <v>임대</v>
      </c>
      <c r="H33" s="83"/>
      <c r="I33" s="82" t="s">
        <v>44</v>
      </c>
      <c r="J33" s="45"/>
      <c r="K33" s="46"/>
      <c r="L33" s="48">
        <f>+K33-J33</f>
        <v>0</v>
      </c>
      <c r="M33" s="47">
        <v>0</v>
      </c>
      <c r="N33" s="59">
        <f t="shared" ref="N33:N40" si="11">+K33-M33</f>
        <v>0</v>
      </c>
      <c r="O33" s="45">
        <f>(+IFERROR(HLOOKUP($B33,'[1]10월'!$D$6:$BN$259,3,),)+IFERROR(HLOOKUP($C33,'[1]10월'!$D$6:$BN$259,3,),))/1000</f>
        <v>74.591499999999996</v>
      </c>
      <c r="P33" s="46">
        <f>+IFERROR(HLOOKUP($E33,'[2]10월'!$F$6:$CP$99,3,),)/1000</f>
        <v>74.244304</v>
      </c>
      <c r="Q33" s="48">
        <f>+P33-O33</f>
        <v>-0.34719599999999673</v>
      </c>
      <c r="R33" s="47">
        <f>+IFERROR(HLOOKUP($E33,'[3]10월'!$F$6:$CC$57,3,),)/1000</f>
        <v>73.837421000000006</v>
      </c>
      <c r="S33" s="59">
        <f t="shared" si="5"/>
        <v>0.40688299999999344</v>
      </c>
      <c r="T33" s="45">
        <f>(+IFERROR(HLOOKUP($B33,'[1]10월'!$D$6:$BN$259,21,),)+IFERROR(HLOOKUP($C33,'[1]10월'!$D$6:$BN$259,21,),))/1000</f>
        <v>64.441000000000003</v>
      </c>
      <c r="U33" s="46">
        <f>+IFERROR(HLOOKUP($E33,'[2]10월'!$F$6:$CP$99,16,),)/1000</f>
        <v>66.994834999999995</v>
      </c>
      <c r="V33" s="48">
        <f t="shared" si="6"/>
        <v>2.5538349999999923</v>
      </c>
      <c r="W33" s="47">
        <f>+IFERROR(HLOOKUP($E33,'[3]10월'!$F$6:$CC$57,16,),)/1000</f>
        <v>63.70566500000001</v>
      </c>
      <c r="X33" s="59">
        <f t="shared" si="7"/>
        <v>3.2891699999999844</v>
      </c>
      <c r="Y33" s="266"/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  <c r="AJ33" s="484"/>
      <c r="AK33" s="488"/>
    </row>
    <row r="34" spans="2:43" s="8" customFormat="1" ht="22.5" customHeight="1" x14ac:dyDescent="0.3">
      <c r="B34" s="8" t="s">
        <v>122</v>
      </c>
      <c r="D34"/>
      <c r="E34"/>
      <c r="F34"/>
      <c r="G34" s="334" t="str">
        <f t="shared" si="10"/>
        <v>공통비</v>
      </c>
      <c r="H34" s="81"/>
      <c r="I34" s="82" t="s">
        <v>29</v>
      </c>
      <c r="J34" s="45"/>
      <c r="K34" s="46"/>
      <c r="L34" s="48">
        <f>+K34-J34</f>
        <v>0</v>
      </c>
      <c r="M34" s="47"/>
      <c r="N34" s="59">
        <f t="shared" si="11"/>
        <v>0</v>
      </c>
      <c r="O34" s="45"/>
      <c r="P34" s="46"/>
      <c r="Q34" s="48">
        <f>+P34-O34</f>
        <v>0</v>
      </c>
      <c r="R34" s="47"/>
      <c r="S34" s="59">
        <f t="shared" si="5"/>
        <v>0</v>
      </c>
      <c r="T34" s="45">
        <f>-'[1]10월'!$Z$22/1000</f>
        <v>-1372.552771281458</v>
      </c>
      <c r="U34" s="46">
        <f>+-'[2]10월'!$Z$22/1000</f>
        <v>-1374.3193157387198</v>
      </c>
      <c r="V34" s="48">
        <f t="shared" si="6"/>
        <v>-1.7665444572617162</v>
      </c>
      <c r="W34" s="47">
        <f>+-'[3]10월'!$Z$22/1000</f>
        <v>-1196.5785099009242</v>
      </c>
      <c r="X34" s="59">
        <f t="shared" si="7"/>
        <v>-177.74080583779551</v>
      </c>
      <c r="Y34" s="266"/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  <c r="AJ34" s="484"/>
      <c r="AK34" s="488"/>
      <c r="AL34" s="86"/>
    </row>
    <row r="35" spans="2:43" s="8" customFormat="1" ht="22.5" customHeight="1" x14ac:dyDescent="0.3">
      <c r="D35"/>
      <c r="E35"/>
      <c r="F35"/>
      <c r="G35" s="334" t="str">
        <f t="shared" si="10"/>
        <v>OPC 소급분</v>
      </c>
      <c r="H35" s="81"/>
      <c r="I35" s="82" t="s">
        <v>95</v>
      </c>
      <c r="J35" s="45"/>
      <c r="K35" s="46"/>
      <c r="L35" s="48"/>
      <c r="M35" s="47"/>
      <c r="N35" s="59">
        <f t="shared" si="11"/>
        <v>0</v>
      </c>
      <c r="O35" s="45"/>
      <c r="P35" s="46"/>
      <c r="Q35" s="48">
        <f>+P35-O35</f>
        <v>0</v>
      </c>
      <c r="R35" s="47"/>
      <c r="S35" s="59">
        <f t="shared" si="5"/>
        <v>0</v>
      </c>
      <c r="T35" s="45"/>
      <c r="U35" s="46">
        <f>'[2]10월'!$BD$26/1000</f>
        <v>497.23331999999999</v>
      </c>
      <c r="V35" s="48">
        <f t="shared" si="6"/>
        <v>497.23331999999999</v>
      </c>
      <c r="W35" s="47">
        <f>+'[3]10월'!$BD$26/1000</f>
        <v>250</v>
      </c>
      <c r="X35" s="59">
        <f t="shared" si="7"/>
        <v>247.23331999999999</v>
      </c>
      <c r="Y35" s="266"/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J35" s="484"/>
      <c r="AK35" s="488"/>
      <c r="AL35" s="86"/>
    </row>
    <row r="36" spans="2:43" s="8" customFormat="1" ht="22.5" customHeight="1" x14ac:dyDescent="0.3">
      <c r="D36"/>
      <c r="E36"/>
      <c r="F36"/>
      <c r="G36" s="334" t="str">
        <f t="shared" si="10"/>
        <v>대손</v>
      </c>
      <c r="H36" s="81"/>
      <c r="I36" s="82" t="s">
        <v>96</v>
      </c>
      <c r="J36" s="45"/>
      <c r="K36" s="46"/>
      <c r="L36" s="48"/>
      <c r="M36" s="47"/>
      <c r="N36" s="59">
        <f t="shared" si="11"/>
        <v>0</v>
      </c>
      <c r="O36" s="45"/>
      <c r="P36" s="46"/>
      <c r="Q36" s="48">
        <f>+P36-O36</f>
        <v>0</v>
      </c>
      <c r="R36" s="47"/>
      <c r="S36" s="59">
        <f t="shared" si="5"/>
        <v>0</v>
      </c>
      <c r="T36" s="45"/>
      <c r="U36" s="46">
        <f>'[2]10월'!$BE$26/1000</f>
        <v>0</v>
      </c>
      <c r="V36" s="48">
        <f t="shared" si="6"/>
        <v>0</v>
      </c>
      <c r="W36" s="47">
        <f>'[3]10월'!$BE$26/1000</f>
        <v>0</v>
      </c>
      <c r="X36" s="59">
        <f t="shared" si="7"/>
        <v>0</v>
      </c>
      <c r="Y36" s="228"/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J36" s="484"/>
      <c r="AK36" s="488"/>
      <c r="AL36" s="86"/>
      <c r="AO36" s="484"/>
      <c r="AP36" s="484"/>
      <c r="AQ36" s="484"/>
    </row>
    <row r="37" spans="2:43" s="8" customFormat="1" ht="22.5" customHeight="1" x14ac:dyDescent="0.3">
      <c r="D37"/>
      <c r="E37"/>
      <c r="F37"/>
      <c r="G37" s="334" t="str">
        <f t="shared" si="10"/>
        <v>미운영 공장</v>
      </c>
      <c r="H37" s="81"/>
      <c r="I37" s="82" t="s">
        <v>112</v>
      </c>
      <c r="J37" s="45"/>
      <c r="K37" s="46"/>
      <c r="L37" s="48"/>
      <c r="M37" s="47">
        <f>SUM(M53:M58)</f>
        <v>0</v>
      </c>
      <c r="N37" s="59">
        <f t="shared" si="11"/>
        <v>0</v>
      </c>
      <c r="O37" s="45"/>
      <c r="P37" s="46"/>
      <c r="Q37" s="48">
        <f>+P37-O37</f>
        <v>0</v>
      </c>
      <c r="R37" s="47">
        <f>+IFERROR(HLOOKUP($I$37,'[3]10월'!$F$6:$BJ$50,3,),)/1000</f>
        <v>0</v>
      </c>
      <c r="S37" s="59">
        <f t="shared" si="5"/>
        <v>0</v>
      </c>
      <c r="T37" s="45">
        <f>SUM('[1]10월'!$AM$26:$AQ$26)/1000</f>
        <v>-32.543495999999998</v>
      </c>
      <c r="U37" s="46">
        <f>+'[2]10월'!$BF$26/1000</f>
        <v>-31.506357999999999</v>
      </c>
      <c r="V37" s="48">
        <f t="shared" si="6"/>
        <v>1.0371379999999988</v>
      </c>
      <c r="W37" s="47">
        <f>+'[3]10월'!$BF$26/1000</f>
        <v>-32.623865999999992</v>
      </c>
      <c r="X37" s="59">
        <f>+U37-W37</f>
        <v>1.1175079999999937</v>
      </c>
      <c r="Y37" s="228"/>
      <c r="Z37" s="229"/>
      <c r="AA37" s="229"/>
      <c r="AB37" s="229"/>
      <c r="AC37" s="229"/>
      <c r="AD37" s="229"/>
      <c r="AE37" s="229"/>
      <c r="AF37" s="229"/>
      <c r="AG37" s="50"/>
      <c r="AH37" s="17"/>
      <c r="AI37" s="18"/>
      <c r="AJ37" s="484"/>
      <c r="AK37" s="488"/>
      <c r="AL37" s="86"/>
      <c r="AQ37" s="484"/>
    </row>
    <row r="38" spans="2:43" s="8" customFormat="1" ht="22.5" customHeight="1" x14ac:dyDescent="0.3">
      <c r="B38" t="s">
        <v>30</v>
      </c>
      <c r="D38"/>
      <c r="G38" s="334" t="str">
        <f t="shared" si="10"/>
        <v>퇴직위로금</v>
      </c>
      <c r="H38" s="81"/>
      <c r="I38" s="82" t="s">
        <v>163</v>
      </c>
      <c r="J38" s="45"/>
      <c r="K38" s="46"/>
      <c r="L38" s="48"/>
      <c r="M38" s="47"/>
      <c r="N38" s="59"/>
      <c r="O38" s="45"/>
      <c r="P38" s="46"/>
      <c r="Q38" s="48"/>
      <c r="R38" s="47"/>
      <c r="S38" s="59"/>
      <c r="T38" s="45"/>
      <c r="U38" s="46">
        <f>+'[2]10월'!$BG$26/1000</f>
        <v>0</v>
      </c>
      <c r="V38" s="48">
        <f t="shared" si="6"/>
        <v>0</v>
      </c>
      <c r="W38" s="47"/>
      <c r="X38" s="59">
        <f>+U38-W38</f>
        <v>0</v>
      </c>
      <c r="Y38" s="233"/>
      <c r="Z38" s="229"/>
      <c r="AA38" s="229"/>
      <c r="AB38" s="229"/>
      <c r="AC38" s="229"/>
      <c r="AD38" s="229"/>
      <c r="AE38" s="229"/>
      <c r="AF38" s="229"/>
      <c r="AG38" s="50"/>
      <c r="AH38" s="17"/>
      <c r="AI38" s="18"/>
      <c r="AJ38" s="484"/>
      <c r="AK38" s="488"/>
    </row>
    <row r="39" spans="2:43" s="8" customFormat="1" ht="22.5" customHeight="1" x14ac:dyDescent="0.3">
      <c r="G39" s="334" t="str">
        <f>+I39</f>
        <v>기타</v>
      </c>
      <c r="H39" s="81"/>
      <c r="I39" s="82" t="s">
        <v>4</v>
      </c>
      <c r="J39" s="45"/>
      <c r="K39" s="46"/>
      <c r="L39" s="54">
        <f>+K39-J39</f>
        <v>0</v>
      </c>
      <c r="M39" s="60"/>
      <c r="N39" s="61">
        <f>+K39-M39</f>
        <v>0</v>
      </c>
      <c r="O39" s="45">
        <f>IFERROR(HLOOKUP($B38,'[1]10월'!$D$6:$BN$259,3,),)/1000</f>
        <v>1.77</v>
      </c>
      <c r="P39" s="46">
        <f>+('[2]10월'!$F$8-SUM('[2]10월'!$Z$8,'[2]10월'!$AH$8,'[2]10월'!$AN$8,'[2]10월'!$AO$8,'[2]10월'!$BA$8,'[2]10월'!$BD$8,'[2]10월'!$BE$8,'[2]10월'!$BF$8))/1000</f>
        <v>1.6948999999985099</v>
      </c>
      <c r="Q39" s="54">
        <f>+P39-O39</f>
        <v>-7.5100000001490086E-2</v>
      </c>
      <c r="R39" s="60">
        <f>+('[3]10월'!$F$8-SUM('[3]10월'!$Z$8,'[3]10월'!$AH$8,'[3]10월'!$AN$8,'[3]10월'!$AO$8,'[3]10월'!$BA$8,'[3]10월'!$BD$8,'[3]10월'!$BE$8,'[3]10월'!$BF$8))/1000</f>
        <v>1.8182000000029803</v>
      </c>
      <c r="S39" s="61">
        <f>+P39-R39</f>
        <v>-0.12330000000447039</v>
      </c>
      <c r="T39" s="45">
        <f>+('[1]10월'!$E$26-'[1]10월'!$Z$26-'[1]10월'!$AA$26-'[1]10월'!$AE$26-'[1]10월'!$AL$26-'[1]10월'!$AM$26-'[1]10월'!$AN$26-'[1]10월'!$AO$26-'[1]10월'!$AP$26-'[1]10월'!$AQ$26-'[1]10월'!$AS$26+'[1]10월'!$AS$26)/1000</f>
        <v>-85.138374999994994</v>
      </c>
      <c r="U39" s="46">
        <f>+('[2]10월'!$F$26-SUM('[2]10월'!$Z$26,'[2]10월'!$AH$26,'[2]10월'!$AN$26,'[2]10월'!$AO$26,'[2]10월'!$BA$26,'[2]10월'!$BD$26,'[2]10월'!$BE$26,'[2]10월'!$BF$26))/1000-U38</f>
        <v>-11.731440999999933</v>
      </c>
      <c r="V39" s="48">
        <f>+U39-T39</f>
        <v>73.406933999995061</v>
      </c>
      <c r="W39" s="60">
        <f>+('[3]10월'!$F$26-SUM('[3]10월'!$Z$26,'[3]10월'!$AH$26,'[3]10월'!$AN$26,'[3]10월'!$AO$26,'[3]10월'!$BA$26,'[3]10월'!$BD$26,'[3]10월'!$BE$26,'[3]10월'!$BF$26))/1000</f>
        <v>-16.754540999998337</v>
      </c>
      <c r="X39" s="59">
        <f>+U39-W39</f>
        <v>5.0230999999984043</v>
      </c>
      <c r="Y39" s="228"/>
      <c r="Z39" s="229"/>
      <c r="AA39" s="229"/>
      <c r="AB39" s="229"/>
      <c r="AC39" s="229"/>
      <c r="AD39" s="229"/>
      <c r="AE39" s="229"/>
      <c r="AF39" s="229"/>
      <c r="AG39" s="50"/>
      <c r="AH39" s="30"/>
      <c r="AJ39" s="484"/>
      <c r="AK39" s="488"/>
    </row>
    <row r="40" spans="2:43" s="3" customFormat="1" ht="22.5" customHeight="1" x14ac:dyDescent="0.3">
      <c r="D40" s="293"/>
      <c r="G40" s="338"/>
      <c r="H40" s="134" t="s">
        <v>97</v>
      </c>
      <c r="I40" s="135"/>
      <c r="J40" s="284">
        <f>SUM(J32:J39)</f>
        <v>0</v>
      </c>
      <c r="K40" s="285">
        <f>SUM(K32:K39)</f>
        <v>0</v>
      </c>
      <c r="L40" s="285">
        <f>+K40-J40</f>
        <v>0</v>
      </c>
      <c r="M40" s="285">
        <f>SUM(M32:M39)</f>
        <v>0</v>
      </c>
      <c r="N40" s="286">
        <f t="shared" si="11"/>
        <v>0</v>
      </c>
      <c r="O40" s="136">
        <f>SUM(O32:O39)</f>
        <v>143.02816666666669</v>
      </c>
      <c r="P40" s="137">
        <f>SUM(P32:P39)</f>
        <v>119.27920399999851</v>
      </c>
      <c r="Q40" s="141">
        <f t="shared" si="4"/>
        <v>-23.748962666668177</v>
      </c>
      <c r="R40" s="142">
        <f>SUM(R32:R39)</f>
        <v>166.49562100000298</v>
      </c>
      <c r="S40" s="143">
        <f>+P40-R40</f>
        <v>-47.216417000004469</v>
      </c>
      <c r="T40" s="136">
        <f>SUM(T32:T39)</f>
        <v>-1377.5147546147864</v>
      </c>
      <c r="U40" s="137">
        <f>SUM(U32:U39)</f>
        <v>-829.73685873871966</v>
      </c>
      <c r="V40" s="141">
        <f>+U40-T40</f>
        <v>547.77789587606674</v>
      </c>
      <c r="W40" s="142">
        <f>SUM(W32:W39)</f>
        <v>-861.08329190092263</v>
      </c>
      <c r="X40" s="143">
        <f>+U40-W40</f>
        <v>31.34643316220297</v>
      </c>
      <c r="Y40" s="230"/>
      <c r="Z40" s="231"/>
      <c r="AA40" s="231"/>
      <c r="AB40" s="231"/>
      <c r="AC40" s="231"/>
      <c r="AD40" s="231"/>
      <c r="AE40" s="231"/>
      <c r="AF40" s="231"/>
      <c r="AG40" s="232"/>
      <c r="AH40" s="25"/>
      <c r="AJ40" s="486"/>
      <c r="AK40" s="488"/>
    </row>
    <row r="41" spans="2:43" s="8" customFormat="1" ht="19.5" customHeight="1" x14ac:dyDescent="0.3">
      <c r="G41" s="334"/>
      <c r="J41" s="32"/>
      <c r="K41" s="32"/>
      <c r="L41" s="31"/>
      <c r="M41" s="31"/>
      <c r="N41" s="31"/>
      <c r="O41" s="32"/>
      <c r="P41" s="32"/>
      <c r="Q41" s="31"/>
      <c r="R41" s="31"/>
      <c r="S41" s="31"/>
      <c r="T41" s="32"/>
      <c r="U41" s="32">
        <v>19</v>
      </c>
      <c r="V41" s="31">
        <v>12.4</v>
      </c>
      <c r="W41" s="31"/>
      <c r="X41" s="31"/>
      <c r="Y41" s="32"/>
      <c r="Z41" s="32"/>
      <c r="AA41" s="32"/>
      <c r="AB41" s="32"/>
      <c r="AC41" s="32"/>
      <c r="AD41" s="32"/>
      <c r="AE41" s="32"/>
      <c r="AF41" s="32"/>
      <c r="AG41" s="32"/>
      <c r="AH41" s="30"/>
      <c r="AJ41" s="484"/>
      <c r="AK41" s="488"/>
      <c r="AO41" s="484"/>
    </row>
    <row r="42" spans="2:43" s="3" customFormat="1" ht="22.5" customHeight="1" x14ac:dyDescent="0.3">
      <c r="G42" s="339">
        <f>+P42/O42</f>
        <v>0.74689531488750194</v>
      </c>
      <c r="H42" s="277" t="s">
        <v>32</v>
      </c>
      <c r="I42" s="278"/>
      <c r="J42" s="290"/>
      <c r="K42" s="291"/>
      <c r="L42" s="291"/>
      <c r="M42" s="291"/>
      <c r="N42" s="292"/>
      <c r="O42" s="280">
        <f>+O27+O31+O40</f>
        <v>30157.020151334862</v>
      </c>
      <c r="P42" s="280">
        <f>+P27+P31+P40</f>
        <v>22524.137061999994</v>
      </c>
      <c r="Q42" s="281">
        <f t="shared" si="4"/>
        <v>-7632.8830893348677</v>
      </c>
      <c r="R42" s="280">
        <f>+R27+R31+R40</f>
        <v>29940.865648000003</v>
      </c>
      <c r="S42" s="283">
        <f>+P42-R42</f>
        <v>-7416.7285860000084</v>
      </c>
      <c r="T42" s="280">
        <f>+T27+T31+T40</f>
        <v>1824.9328136013269</v>
      </c>
      <c r="U42" s="280">
        <f>+U27+U31+U40</f>
        <v>-400.50113899328875</v>
      </c>
      <c r="V42" s="281">
        <f>+U42-T42</f>
        <v>-2225.4339525946157</v>
      </c>
      <c r="W42" s="280">
        <f>+W27+W31+W40</f>
        <v>1130.2302910026763</v>
      </c>
      <c r="X42" s="283">
        <f>+U42-W42</f>
        <v>-1530.7314299959651</v>
      </c>
      <c r="Y42" s="608"/>
      <c r="Z42" s="609"/>
      <c r="AA42" s="609"/>
      <c r="AB42" s="609"/>
      <c r="AC42" s="609"/>
      <c r="AD42" s="609"/>
      <c r="AE42" s="609"/>
      <c r="AF42" s="609"/>
      <c r="AG42" s="610"/>
      <c r="AH42" s="25"/>
      <c r="AJ42" s="486"/>
      <c r="AK42" s="488"/>
      <c r="AO42" s="486"/>
    </row>
    <row r="43" spans="2:43" s="33" customFormat="1" x14ac:dyDescent="0.3">
      <c r="G43" s="336">
        <f>+U42/T42</f>
        <v>-0.21946075823084074</v>
      </c>
      <c r="P43" s="295">
        <f>+P42/O42</f>
        <v>0.74689531488750194</v>
      </c>
      <c r="R43" s="295">
        <f>+P42/R42</f>
        <v>0.75228743640231277</v>
      </c>
      <c r="T43" s="295">
        <f>+T42/O42</f>
        <v>6.0514361314327289E-2</v>
      </c>
      <c r="U43" s="295">
        <f>+U42/P42</f>
        <v>-1.7780975932213002E-2</v>
      </c>
      <c r="AC43" s="34"/>
      <c r="AF43" s="34"/>
      <c r="AJ43" s="487"/>
      <c r="AK43" s="488"/>
    </row>
    <row r="44" spans="2:43" s="33" customFormat="1" ht="17.25" thickBot="1" x14ac:dyDescent="0.35">
      <c r="G44" s="340"/>
      <c r="AC44" s="34"/>
      <c r="AF44" s="34"/>
      <c r="AJ44" s="487"/>
    </row>
    <row r="45" spans="2:43" s="33" customFormat="1" x14ac:dyDescent="0.3">
      <c r="F45" s="295" t="e">
        <f>+#REF!/#REF!</f>
        <v>#REF!</v>
      </c>
      <c r="G45" s="336" t="e">
        <f>+#REF!/#REF!</f>
        <v>#REF!</v>
      </c>
      <c r="I45" s="605" t="s">
        <v>82</v>
      </c>
      <c r="J45" s="126">
        <f>+'[1]10월'!$Z$7/1000</f>
        <v>276</v>
      </c>
      <c r="K45" s="127">
        <f>+'[2]10월'!$AI$7/1000</f>
        <v>215.28800000000001</v>
      </c>
      <c r="L45" s="127"/>
      <c r="M45" s="127">
        <f>+'[3]10월'!$Z$7/1000</f>
        <v>296.55700000000002</v>
      </c>
      <c r="N45" s="127"/>
      <c r="O45" s="127">
        <f>('[1]10월'!$E$8-'[1]10월'!$AA$8)/1000</f>
        <v>30157.020151334858</v>
      </c>
      <c r="P45" s="127">
        <f>('[2]10월'!$F$8-'[2]10월'!$AO$8)/1000</f>
        <v>22524.137061999998</v>
      </c>
      <c r="Q45" s="127"/>
      <c r="R45" s="127">
        <f>('[3]10월'!$F$8-'[3]10월'!$AO$8)/1000</f>
        <v>29940.865648000003</v>
      </c>
      <c r="S45" s="127"/>
      <c r="T45" s="132">
        <f>('[1]10월'!$E$26-'[1]10월'!$AA$26)/1000</f>
        <v>1824.9328136013237</v>
      </c>
      <c r="U45" s="127">
        <f>('[2]10월'!$F$26-'[2]10월'!$AO$26)/1000</f>
        <v>-400.50113899328852</v>
      </c>
      <c r="V45" s="127"/>
      <c r="W45" s="127">
        <f>('[3]10월'!$F$26-'[3]10월'!$AO$26)/1000</f>
        <v>1130.230291002676</v>
      </c>
      <c r="X45" s="128"/>
      <c r="AC45" s="34"/>
      <c r="AF45" s="34"/>
      <c r="AJ45" s="487"/>
    </row>
    <row r="46" spans="2:43" s="33" customFormat="1" ht="17.25" thickBot="1" x14ac:dyDescent="0.35">
      <c r="F46" s="295">
        <f>+K31/M31</f>
        <v>1.1081544350141455</v>
      </c>
      <c r="G46" s="336">
        <f>+K31/J31</f>
        <v>0.61532460889883478</v>
      </c>
      <c r="I46" s="605"/>
      <c r="J46" s="131">
        <f>+J45-J27</f>
        <v>0</v>
      </c>
      <c r="K46" s="129">
        <f>+K45-K27</f>
        <v>0</v>
      </c>
      <c r="L46" s="129"/>
      <c r="M46" s="129">
        <f>+M45-M27</f>
        <v>0</v>
      </c>
      <c r="N46" s="129"/>
      <c r="O46" s="133">
        <f>+O45-O42</f>
        <v>0</v>
      </c>
      <c r="P46" s="133">
        <f>+P45-P42</f>
        <v>0</v>
      </c>
      <c r="Q46" s="129"/>
      <c r="R46" s="133">
        <f>+R45-R42</f>
        <v>0</v>
      </c>
      <c r="S46" s="129"/>
      <c r="T46" s="133">
        <f>+T45-T42</f>
        <v>-3.1832314562052488E-12</v>
      </c>
      <c r="U46" s="133">
        <f>+U45-U42</f>
        <v>0</v>
      </c>
      <c r="V46" s="129"/>
      <c r="W46" s="129">
        <f>+W45-W42</f>
        <v>0</v>
      </c>
      <c r="X46" s="130"/>
      <c r="AC46" s="34"/>
      <c r="AF46" s="34"/>
      <c r="AG46" s="33" t="s">
        <v>83</v>
      </c>
      <c r="AJ46" s="487"/>
    </row>
    <row r="47" spans="2:43" x14ac:dyDescent="0.3">
      <c r="T47" s="294"/>
      <c r="U47" s="294"/>
      <c r="V47" s="294"/>
    </row>
    <row r="48" spans="2:43" x14ac:dyDescent="0.3">
      <c r="O48" s="492"/>
      <c r="P48" s="492"/>
      <c r="Q48" s="492"/>
      <c r="T48" s="236">
        <f>+(T27+T34)/100</f>
        <v>16.200780723021786</v>
      </c>
      <c r="U48" s="236">
        <f>+(U27+U34)/100</f>
        <v>-8.2246017072871993</v>
      </c>
      <c r="V48" s="236">
        <f>+U48-T48</f>
        <v>-24.425382430308986</v>
      </c>
      <c r="AC48" s="34"/>
      <c r="AD48" s="33"/>
      <c r="AE48" s="33"/>
      <c r="AF48" s="34"/>
    </row>
    <row r="49" spans="7:33" x14ac:dyDescent="0.3">
      <c r="O49" s="492"/>
      <c r="P49" s="492"/>
      <c r="Q49" s="492"/>
      <c r="T49" s="236">
        <f>+T31/100</f>
        <v>2.0981672463247647</v>
      </c>
      <c r="U49" s="236">
        <f>+U31/100</f>
        <v>-1.2262342526456889</v>
      </c>
      <c r="V49" s="236">
        <f>+U49-T49</f>
        <v>-3.3244014989704533</v>
      </c>
      <c r="W49" s="235"/>
      <c r="AC49" s="34"/>
      <c r="AD49" s="33"/>
      <c r="AE49" s="33"/>
      <c r="AF49" s="34"/>
    </row>
    <row r="50" spans="7:33" x14ac:dyDescent="0.3">
      <c r="Q50" s="235"/>
      <c r="T50" s="6">
        <f>+(T32+T33)/100</f>
        <v>1.1271988766666667</v>
      </c>
      <c r="U50" s="6">
        <f>+(U32+U33)/100</f>
        <v>0.90586935999999996</v>
      </c>
      <c r="V50" s="294">
        <f>+U50-T50</f>
        <v>-0.22132951666666678</v>
      </c>
      <c r="AC50" s="34"/>
      <c r="AD50" s="33"/>
      <c r="AE50" s="33"/>
      <c r="AF50" s="34"/>
    </row>
    <row r="51" spans="7:33" x14ac:dyDescent="0.3">
      <c r="G51" s="568"/>
      <c r="I51" s="492"/>
      <c r="T51" s="6">
        <f>+T42/100-T48-T49-T50</f>
        <v>-1.1768187099999494</v>
      </c>
      <c r="U51" s="569">
        <f>+U42/100-U48-U49-U50</f>
        <v>4.5399552100000014</v>
      </c>
      <c r="V51" s="294">
        <f>+U51-T51</f>
        <v>5.7167739199999508</v>
      </c>
      <c r="AC51" s="34"/>
      <c r="AD51" s="33"/>
      <c r="AE51" s="33"/>
      <c r="AF51" s="34"/>
    </row>
    <row r="52" spans="7:33" x14ac:dyDescent="0.3">
      <c r="G52" s="568"/>
      <c r="I52" s="492"/>
      <c r="N52" s="492"/>
      <c r="S52" s="236"/>
      <c r="T52" s="236">
        <f>+SUM(T48:T51)</f>
        <v>18.249328136013268</v>
      </c>
      <c r="U52" s="236">
        <f>+SUM(U48:U51)</f>
        <v>-4.0050113899328865</v>
      </c>
      <c r="V52" s="236">
        <f>+U52-T52</f>
        <v>-22.254339525946154</v>
      </c>
      <c r="AC52" s="34"/>
      <c r="AD52" s="33"/>
      <c r="AE52" s="33"/>
      <c r="AF52" s="34"/>
    </row>
    <row r="53" spans="7:33" x14ac:dyDescent="0.3">
      <c r="G53" s="568"/>
      <c r="I53" s="485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6"/>
      <c r="AC53" s="236"/>
      <c r="AD53" s="236"/>
      <c r="AE53" s="236"/>
      <c r="AF53" s="236"/>
      <c r="AG53" s="236"/>
    </row>
    <row r="54" spans="7:33" x14ac:dyDescent="0.3">
      <c r="G54" s="568"/>
      <c r="I54" s="485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  <c r="V54" s="236"/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</row>
    <row r="55" spans="7:33" x14ac:dyDescent="0.3">
      <c r="G55" s="568"/>
      <c r="J55" s="236"/>
      <c r="K55" s="236"/>
      <c r="L55" s="236"/>
      <c r="M55" s="236"/>
      <c r="N55" s="236"/>
      <c r="O55" s="236"/>
      <c r="P55" s="236"/>
      <c r="Q55" s="236"/>
      <c r="R55" s="236"/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</row>
    <row r="56" spans="7:33" x14ac:dyDescent="0.3">
      <c r="G56" s="568"/>
      <c r="I56" s="492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</row>
    <row r="57" spans="7:33" x14ac:dyDescent="0.3">
      <c r="G57" s="568"/>
      <c r="I57" s="492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94"/>
      <c r="U57" s="294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</row>
    <row r="58" spans="7:33" x14ac:dyDescent="0.3"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  <c r="V58" s="236"/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</row>
    <row r="59" spans="7:33" x14ac:dyDescent="0.3">
      <c r="G59" s="568"/>
      <c r="I59" s="492"/>
      <c r="S59" s="236"/>
      <c r="T59" s="236"/>
      <c r="U59" s="236"/>
      <c r="V59" s="236"/>
      <c r="AC59" s="236"/>
      <c r="AD59" s="236"/>
      <c r="AE59" s="236"/>
      <c r="AF59" s="236"/>
    </row>
    <row r="60" spans="7:33" x14ac:dyDescent="0.3">
      <c r="G60" s="568"/>
      <c r="I60" s="492"/>
      <c r="S60" s="236"/>
      <c r="T60" s="236"/>
      <c r="U60" s="236"/>
      <c r="V60" s="236"/>
      <c r="AC60" s="236"/>
      <c r="AD60" s="236"/>
      <c r="AE60" s="236"/>
    </row>
    <row r="61" spans="7:33" x14ac:dyDescent="0.3">
      <c r="G61" s="568"/>
      <c r="I61" s="492"/>
      <c r="S61" s="236"/>
      <c r="T61" s="236"/>
      <c r="U61" s="236"/>
      <c r="V61" s="236"/>
      <c r="AC61" s="236"/>
      <c r="AD61" s="236"/>
      <c r="AE61" s="236"/>
    </row>
    <row r="62" spans="7:33" x14ac:dyDescent="0.3">
      <c r="G62" s="568"/>
      <c r="I62" s="492"/>
      <c r="T62" s="6"/>
      <c r="U62" s="6"/>
      <c r="V62" s="6"/>
      <c r="AC62" s="236"/>
      <c r="AE62" s="236"/>
    </row>
    <row r="63" spans="7:33" x14ac:dyDescent="0.3">
      <c r="G63" s="568"/>
      <c r="AC63" s="236"/>
      <c r="AE63" s="236"/>
    </row>
    <row r="64" spans="7:33" x14ac:dyDescent="0.3">
      <c r="G64" s="568"/>
      <c r="AC64" s="236"/>
      <c r="AE64" s="236"/>
    </row>
    <row r="65" spans="7:31" x14ac:dyDescent="0.3">
      <c r="G65" s="568"/>
      <c r="T65" s="6"/>
      <c r="U65" s="6"/>
      <c r="V65" s="6"/>
      <c r="AC65" s="236"/>
      <c r="AE65" s="236"/>
    </row>
    <row r="66" spans="7:31" x14ac:dyDescent="0.3">
      <c r="AC66" s="236"/>
      <c r="AE66" s="236"/>
    </row>
    <row r="67" spans="7:31" x14ac:dyDescent="0.3">
      <c r="T67" s="492"/>
      <c r="U67" s="492"/>
      <c r="V67" s="492"/>
      <c r="AC67" s="236"/>
      <c r="AE67" s="236"/>
    </row>
    <row r="68" spans="7:31" x14ac:dyDescent="0.3">
      <c r="G68" s="568"/>
      <c r="T68" s="492"/>
      <c r="U68" s="492"/>
      <c r="V68" s="492"/>
      <c r="AC68" s="236"/>
      <c r="AE68" s="236"/>
    </row>
    <row r="69" spans="7:31" x14ac:dyDescent="0.3">
      <c r="AC69" s="236"/>
      <c r="AE69" s="236"/>
    </row>
    <row r="70" spans="7:31" x14ac:dyDescent="0.3">
      <c r="AC70" s="236"/>
      <c r="AE70" s="236"/>
    </row>
    <row r="71" spans="7:31" x14ac:dyDescent="0.3">
      <c r="AC71" s="236"/>
      <c r="AE71" s="236"/>
    </row>
    <row r="72" spans="7:31" x14ac:dyDescent="0.3">
      <c r="AC72" s="236"/>
      <c r="AE72" s="236"/>
    </row>
    <row r="73" spans="7:31" x14ac:dyDescent="0.3">
      <c r="AC73" s="236"/>
      <c r="AE73" s="236"/>
    </row>
    <row r="74" spans="7:31" x14ac:dyDescent="0.3">
      <c r="AC74" s="236"/>
      <c r="AE74" s="236"/>
    </row>
    <row r="75" spans="7:31" x14ac:dyDescent="0.3">
      <c r="AC75" s="236"/>
      <c r="AE75" s="236"/>
    </row>
    <row r="76" spans="7:31" x14ac:dyDescent="0.3">
      <c r="AC76" s="236"/>
      <c r="AE76" s="236"/>
    </row>
    <row r="77" spans="7:31" x14ac:dyDescent="0.3">
      <c r="AC77" s="236"/>
    </row>
  </sheetData>
  <mergeCells count="3">
    <mergeCell ref="H5:I6"/>
    <mergeCell ref="Y42:AG42"/>
    <mergeCell ref="I45:I46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F7925-3FD4-4329-BC8D-2F90C8DFF3BE}">
  <sheetPr>
    <tabColor theme="1" tint="0.34998626667073579"/>
    <pageSetUpPr fitToPage="1"/>
  </sheetPr>
  <dimension ref="A1:AR52"/>
  <sheetViews>
    <sheetView showGridLines="0" showZeros="0" tabSelected="1" topLeftCell="E25" zoomScale="85" zoomScaleNormal="85" zoomScaleSheetLayoutView="85" workbookViewId="0">
      <selection activeCell="Q38" sqref="Q38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1:36" ht="18" customHeight="1" x14ac:dyDescent="0.3">
      <c r="H1" s="4"/>
      <c r="K1" s="6"/>
      <c r="L1" s="6"/>
      <c r="P1" s="6"/>
      <c r="Q1" s="6"/>
    </row>
    <row r="2" spans="1:36" ht="18" customHeight="1" x14ac:dyDescent="0.3">
      <c r="H2" s="7"/>
      <c r="AD2" s="5"/>
      <c r="AG2" s="5"/>
    </row>
    <row r="3" spans="1:36" ht="26.25" x14ac:dyDescent="0.3">
      <c r="H3" s="4" t="s">
        <v>221</v>
      </c>
      <c r="AD3" s="5"/>
      <c r="AG3" s="5"/>
    </row>
    <row r="4" spans="1:36" ht="18" customHeight="1" x14ac:dyDescent="0.3">
      <c r="H4" s="7"/>
      <c r="AD4" s="5"/>
      <c r="AG4" s="5" t="s">
        <v>77</v>
      </c>
    </row>
    <row r="5" spans="1:36" s="8" customFormat="1" ht="19.5" customHeight="1" x14ac:dyDescent="0.3">
      <c r="G5" s="334"/>
      <c r="H5" s="602" t="s">
        <v>11</v>
      </c>
      <c r="I5" s="603"/>
      <c r="J5" s="158" t="s">
        <v>0</v>
      </c>
      <c r="K5" s="159"/>
      <c r="L5" s="159"/>
      <c r="M5" s="159"/>
      <c r="N5" s="160"/>
      <c r="O5" s="158" t="s">
        <v>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6" s="8" customFormat="1" ht="19.5" customHeight="1" x14ac:dyDescent="0.3">
      <c r="A6" s="8" t="s">
        <v>213</v>
      </c>
      <c r="G6" s="334"/>
      <c r="H6" s="604"/>
      <c r="I6" s="601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6" s="8" customFormat="1" ht="22.5" customHeight="1" x14ac:dyDescent="0.3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+IFERROR(HLOOKUP($B7,'[1]10월누계'!$D$6:$BN$259,2,),)/1000</f>
        <v>378</v>
      </c>
      <c r="K7" s="36">
        <f>+IFERROR(HLOOKUP($B7,'[2]10월누계'!$F$6:$CP$99,2,),)/1000</f>
        <v>322.44400000000002</v>
      </c>
      <c r="L7" s="37">
        <f t="shared" ref="L7:L31" si="0">+K7-J7</f>
        <v>-55.555999999999983</v>
      </c>
      <c r="M7" s="38">
        <f>+IFERROR(HLOOKUP($B7,'[3]10월누계'!$F$6:$CC$57,2,),)/1000</f>
        <v>373.67099999999999</v>
      </c>
      <c r="N7" s="39">
        <f>+K7-M7</f>
        <v>-51.226999999999975</v>
      </c>
      <c r="O7" s="35">
        <f>+IFERROR(HLOOKUP($B7,'[1]10월누계'!$D$6:$BN$259,3,),)/1000</f>
        <v>37495.540346000002</v>
      </c>
      <c r="P7" s="36">
        <f>+IFERROR(HLOOKUP($B7,'[2]10월누계'!$F$6:$CP$99,3,),)/1000</f>
        <v>31085.544923000001</v>
      </c>
      <c r="Q7" s="37">
        <f>+P7-O7</f>
        <v>-6409.9954230000003</v>
      </c>
      <c r="R7" s="38">
        <f>+IFERROR(HLOOKUP($B7,'[3]10월누계'!$F$6:$CC$57,3,),)/1000</f>
        <v>37039.865332000001</v>
      </c>
      <c r="S7" s="39">
        <f>+P7-R7</f>
        <v>-5954.3204089999999</v>
      </c>
      <c r="T7" s="35">
        <f>+IFERROR(HLOOKUP($B7,'[1]10월누계'!$D$6:$BN$259,16,),)/1000</f>
        <v>3527.040101567432</v>
      </c>
      <c r="U7" s="36">
        <f>+IFERROR(HLOOKUP($B7,'[2]10월누계'!$F$6:$CP$99,16,),)/1000</f>
        <v>2176.8926209999977</v>
      </c>
      <c r="V7" s="40">
        <f>+U7-T7</f>
        <v>-1350.1474805674343</v>
      </c>
      <c r="W7" s="41">
        <f>+IFERROR(HLOOKUP($B7,'[3]10월누계'!$F$6:$CC$57,16,),)/1000</f>
        <v>3495.1511919999998</v>
      </c>
      <c r="X7" s="39">
        <f>+U7-W7</f>
        <v>-1318.2585710000021</v>
      </c>
      <c r="Y7" s="35">
        <f>+[12]안양!$Q$85</f>
        <v>99194.551179894173</v>
      </c>
      <c r="Z7" s="36">
        <f>+[12]안양!$R$85</f>
        <v>96395.902615291605</v>
      </c>
      <c r="AA7" s="42">
        <f>+[13]안양!$Q$85</f>
        <v>99119.962067949979</v>
      </c>
      <c r="AB7" s="43">
        <f>+[12]안양!$Q$89</f>
        <v>81666.959102101129</v>
      </c>
      <c r="AC7" s="36">
        <f>+[12]안양!$R$89</f>
        <v>79845.274899715965</v>
      </c>
      <c r="AD7" s="44">
        <f>+[13]안양!$Q$89</f>
        <v>81575.39945770007</v>
      </c>
      <c r="AE7" s="43">
        <f>+Y7-AB7</f>
        <v>17527.592077793044</v>
      </c>
      <c r="AF7" s="36">
        <f>+Z7-AC7</f>
        <v>16550.62771557564</v>
      </c>
      <c r="AG7" s="44">
        <f>+AA7-AD7</f>
        <v>17544.562610249908</v>
      </c>
      <c r="AH7" s="17"/>
      <c r="AI7" s="580">
        <f>+K7/J7</f>
        <v>0.85302645502645502</v>
      </c>
      <c r="AJ7" s="494"/>
    </row>
    <row r="8" spans="1:36" s="8" customFormat="1" ht="22.5" customHeight="1" x14ac:dyDescent="0.3">
      <c r="B8" s="8" t="s">
        <v>19</v>
      </c>
      <c r="G8" s="336" t="str">
        <f t="shared" ref="G8:G26" si="1">+I8</f>
        <v>인천</v>
      </c>
      <c r="H8" s="74" t="s">
        <v>41</v>
      </c>
      <c r="I8" s="75" t="s">
        <v>19</v>
      </c>
      <c r="J8" s="45">
        <f>+IFERROR(HLOOKUP($B8,'[1]10월누계'!$D$6:$BN$259,2,),)/1000</f>
        <v>276</v>
      </c>
      <c r="K8" s="46">
        <f>+IFERROR(HLOOKUP($B8,'[2]10월누계'!$F$6:$CP$99,2,),)/1000</f>
        <v>272.09100000000001</v>
      </c>
      <c r="L8" s="47">
        <f t="shared" si="0"/>
        <v>-3.9089999999999918</v>
      </c>
      <c r="M8" s="48">
        <f>+IFERROR(HLOOKUP($B8,'[3]10월누계'!$F$6:$CC$57,2,),)/1000</f>
        <v>267.07499999999999</v>
      </c>
      <c r="N8" s="49">
        <f t="shared" ref="N8:N31" si="2">+K8-M8</f>
        <v>5.0160000000000196</v>
      </c>
      <c r="O8" s="45">
        <f>+IFERROR(HLOOKUP($B8,'[1]10월누계'!$D$6:$BN$259,3,),)/1000</f>
        <v>27389.03286690843</v>
      </c>
      <c r="P8" s="46">
        <f>+IFERROR(HLOOKUP($B8,'[2]10월누계'!$F$6:$CP$99,3,),)/1000</f>
        <v>26344.087277000002</v>
      </c>
      <c r="Q8" s="47">
        <f t="shared" ref="Q8:Q42" si="3">+P8-O8</f>
        <v>-1044.9455899084278</v>
      </c>
      <c r="R8" s="48">
        <f>+IFERROR(HLOOKUP($B8,'[3]10월누계'!$F$6:$CC$57,3,),)/1000</f>
        <v>26610.639729999995</v>
      </c>
      <c r="S8" s="49">
        <f t="shared" ref="S8:S37" si="4">+P8-R8</f>
        <v>-266.55245299999297</v>
      </c>
      <c r="T8" s="45">
        <f>+IFERROR(HLOOKUP($B8,'[1]10월누계'!$D$6:$BN$259,16,),)/1000</f>
        <v>1485.5092152212428</v>
      </c>
      <c r="U8" s="46">
        <f>+IFERROR(HLOOKUP($B8,'[2]10월누계'!$F$6:$CP$99,16,),)/1000</f>
        <v>144.14425902000261</v>
      </c>
      <c r="V8" s="47">
        <f t="shared" ref="V8:V38" si="5">+U8-T8</f>
        <v>-1341.3649562012401</v>
      </c>
      <c r="W8" s="48">
        <f>+IFERROR(HLOOKUP($B8,'[3]10월누계'!$F$6:$CC$57,16,),)/1000</f>
        <v>1662.3616650099978</v>
      </c>
      <c r="X8" s="49">
        <f t="shared" ref="X8:X36" si="6">+U8-W8</f>
        <v>-1518.2174059899951</v>
      </c>
      <c r="Y8" s="45">
        <f>+[12]인천!$Q$85</f>
        <v>99235.62632937837</v>
      </c>
      <c r="Z8" s="46">
        <f>+[12]인천!$R$85</f>
        <v>96874.047413330773</v>
      </c>
      <c r="AA8" s="50">
        <f>+[13]인천!$Q$85</f>
        <v>99641.374010630694</v>
      </c>
      <c r="AB8" s="51">
        <f>+[12]인천!$Q$89</f>
        <v>82832.695809646335</v>
      </c>
      <c r="AC8" s="46">
        <f>+[12]인천!$R$89</f>
        <v>84453.745797674725</v>
      </c>
      <c r="AD8" s="52">
        <f>+[13]인천!$Q$89</f>
        <v>82366.896822904993</v>
      </c>
      <c r="AE8" s="51">
        <f t="shared" ref="AE8:AG27" si="7">+Y8-AB8</f>
        <v>16402.930519732035</v>
      </c>
      <c r="AF8" s="46">
        <f t="shared" si="7"/>
        <v>12420.301615656048</v>
      </c>
      <c r="AG8" s="52">
        <f t="shared" si="7"/>
        <v>17274.477187725701</v>
      </c>
      <c r="AH8" s="17"/>
      <c r="AI8" s="580">
        <f t="shared" ref="AI8:AI27" si="8">+K8/J8</f>
        <v>0.98583695652173919</v>
      </c>
      <c r="AJ8" s="494"/>
    </row>
    <row r="9" spans="1:36" s="8" customFormat="1" ht="22.5" customHeight="1" x14ac:dyDescent="0.3">
      <c r="B9" s="8" t="s">
        <v>20</v>
      </c>
      <c r="G9" s="336" t="str">
        <f t="shared" si="1"/>
        <v>파주</v>
      </c>
      <c r="H9" s="74"/>
      <c r="I9" s="75" t="s">
        <v>20</v>
      </c>
      <c r="J9" s="45">
        <f>+IFERROR(HLOOKUP($B9,'[1]10월누계'!$D$6:$BN$259,2,),)/1000</f>
        <v>206</v>
      </c>
      <c r="K9" s="46">
        <f>+IFERROR(HLOOKUP($B9,'[2]10월누계'!$F$6:$CP$99,2,),)/1000</f>
        <v>126.85599999999999</v>
      </c>
      <c r="L9" s="47">
        <f t="shared" si="0"/>
        <v>-79.144000000000005</v>
      </c>
      <c r="M9" s="48">
        <f>+IFERROR(HLOOKUP($B9,'[3]10월누계'!$F$6:$CC$57,2,),)/1000</f>
        <v>243.7</v>
      </c>
      <c r="N9" s="49">
        <f t="shared" si="2"/>
        <v>-116.84399999999999</v>
      </c>
      <c r="O9" s="45">
        <f>+IFERROR(HLOOKUP($B9,'[1]10월누계'!$D$6:$BN$259,3,),)/1000</f>
        <v>19889.699183200002</v>
      </c>
      <c r="P9" s="46">
        <f>+IFERROR(HLOOKUP($B9,'[2]10월누계'!$F$6:$CP$99,3,),)/1000</f>
        <v>11751.660443000001</v>
      </c>
      <c r="Q9" s="47">
        <f t="shared" si="3"/>
        <v>-8138.0387402000015</v>
      </c>
      <c r="R9" s="48">
        <f>+IFERROR(HLOOKUP($B9,'[3]10월누계'!$F$6:$CC$57,3,),)/1000</f>
        <v>23555.595879</v>
      </c>
      <c r="S9" s="49">
        <f t="shared" si="4"/>
        <v>-11803.935436</v>
      </c>
      <c r="T9" s="45">
        <f>+IFERROR(HLOOKUP($B9,'[1]10월누계'!$D$6:$BN$259,16,),)/1000</f>
        <v>1015.1016651480494</v>
      </c>
      <c r="U9" s="46">
        <f>+IFERROR(HLOOKUP($B9,'[2]10월누계'!$F$6:$CP$99,16,),)/1000</f>
        <v>-405.52211200000039</v>
      </c>
      <c r="V9" s="47">
        <f t="shared" si="5"/>
        <v>-1420.6237771480498</v>
      </c>
      <c r="W9" s="48">
        <f>+IFERROR(HLOOKUP($B9,'[3]10월누계'!$F$6:$CC$57,16,),)/1000</f>
        <v>1693.9686640000009</v>
      </c>
      <c r="X9" s="49">
        <f t="shared" si="6"/>
        <v>-2099.4907760000015</v>
      </c>
      <c r="Y9" s="45">
        <f>+[12]파주!$Q$85</f>
        <v>96551.93778252427</v>
      </c>
      <c r="Z9" s="46">
        <f>+[12]파주!$R$85</f>
        <v>92679.473354156653</v>
      </c>
      <c r="AA9" s="50">
        <f>+[13]파주!$Q$85</f>
        <v>96666.953368455972</v>
      </c>
      <c r="AB9" s="51">
        <f>+[12]파주!$Q$89</f>
        <v>80218.087621696439</v>
      </c>
      <c r="AC9" s="46">
        <f>+[12]파주!$R$89</f>
        <v>78513.761995131485</v>
      </c>
      <c r="AD9" s="52">
        <f>+[13]파주!$Q$89</f>
        <v>80272.138118544943</v>
      </c>
      <c r="AE9" s="51">
        <f t="shared" si="7"/>
        <v>16333.850160827831</v>
      </c>
      <c r="AF9" s="46">
        <f t="shared" si="7"/>
        <v>14165.711359025168</v>
      </c>
      <c r="AG9" s="52">
        <f t="shared" si="7"/>
        <v>16394.815249911029</v>
      </c>
      <c r="AH9" s="17"/>
      <c r="AI9" s="580">
        <f t="shared" si="8"/>
        <v>0.61580582524271843</v>
      </c>
      <c r="AJ9" s="494"/>
    </row>
    <row r="10" spans="1:36" s="8" customFormat="1" ht="22.5" customHeight="1" x14ac:dyDescent="0.3">
      <c r="B10" s="8" t="s">
        <v>110</v>
      </c>
      <c r="G10" s="336" t="str">
        <f t="shared" si="1"/>
        <v>김포</v>
      </c>
      <c r="H10" s="74"/>
      <c r="I10" s="75" t="s">
        <v>108</v>
      </c>
      <c r="J10" s="45">
        <f>+IFERROR(HLOOKUP($B10,'[1]10월누계'!$D$6:$BN$259,2,),)/1000</f>
        <v>139</v>
      </c>
      <c r="K10" s="46">
        <f>+IFERROR(HLOOKUP($B10,'[2]10월누계'!$F$6:$CP$99,2,),)/1000</f>
        <v>99.336820000000003</v>
      </c>
      <c r="L10" s="47">
        <f t="shared" si="0"/>
        <v>-39.663179999999997</v>
      </c>
      <c r="M10" s="48">
        <f>+IFERROR(HLOOKUP($B10,'[3]10월누계'!$F$6:$CC$57,2,),)/1000</f>
        <v>114.72150000000001</v>
      </c>
      <c r="N10" s="49">
        <f t="shared" si="2"/>
        <v>-15.384680000000003</v>
      </c>
      <c r="O10" s="45">
        <f>+IFERROR(HLOOKUP($B10,'[1]10월누계'!$D$6:$BN$259,3,),)/1000</f>
        <v>13191.318670000002</v>
      </c>
      <c r="P10" s="46">
        <f>+IFERROR(HLOOKUP($B10,'[2]10월누계'!$F$6:$CP$99,3,),)/1000</f>
        <v>9490.0219940000006</v>
      </c>
      <c r="Q10" s="47">
        <f t="shared" si="3"/>
        <v>-3701.2966760000018</v>
      </c>
      <c r="R10" s="48">
        <f>+IFERROR(HLOOKUP($B10,'[3]10월누계'!$F$6:$CC$57,3,),)/1000</f>
        <v>11196.539796000003</v>
      </c>
      <c r="S10" s="49">
        <f t="shared" si="4"/>
        <v>-1706.5178020000021</v>
      </c>
      <c r="T10" s="45">
        <f>+IFERROR(HLOOKUP($B10,'[1]10월누계'!$D$6:$BN$259,16,),)/1000</f>
        <v>855.98466195048093</v>
      </c>
      <c r="U10" s="46">
        <f>+IFERROR(HLOOKUP($B10,'[2]10월누계'!$F$6:$CP$99,16,),)/1000</f>
        <v>-44.558192999998866</v>
      </c>
      <c r="V10" s="47">
        <f t="shared" si="5"/>
        <v>-900.54285495047975</v>
      </c>
      <c r="W10" s="48">
        <f>+IFERROR(HLOOKUP($B10,'[3]10월누계'!$F$6:$CC$57,16,),)/1000</f>
        <v>935.79926200000034</v>
      </c>
      <c r="X10" s="49">
        <f t="shared" si="6"/>
        <v>-980.35745499999916</v>
      </c>
      <c r="Y10" s="45">
        <f>+[12]김포!$Q$85</f>
        <v>94901.573165467635</v>
      </c>
      <c r="Z10" s="46">
        <f>+[12]김포!$R$85</f>
        <v>95610.678374303738</v>
      </c>
      <c r="AA10" s="50">
        <f>+[13]김포!$Q$85</f>
        <v>97610.856292393801</v>
      </c>
      <c r="AB10" s="51">
        <f>+[12]김포!$Q$89</f>
        <v>76172.298131451404</v>
      </c>
      <c r="AC10" s="46">
        <f>+[12]김포!$R$89</f>
        <v>78308.79262496352</v>
      </c>
      <c r="AD10" s="52">
        <f>+[13]김포!$Q$89</f>
        <v>75418.587197998728</v>
      </c>
      <c r="AE10" s="51">
        <f t="shared" si="7"/>
        <v>18729.275034016231</v>
      </c>
      <c r="AF10" s="46">
        <f t="shared" si="7"/>
        <v>17301.885749340217</v>
      </c>
      <c r="AG10" s="52">
        <f t="shared" si="7"/>
        <v>22192.269094395073</v>
      </c>
      <c r="AH10" s="17"/>
      <c r="AI10" s="580">
        <f t="shared" si="8"/>
        <v>0.71465338129496403</v>
      </c>
      <c r="AJ10" s="494"/>
    </row>
    <row r="11" spans="1:36" s="8" customFormat="1" ht="22.5" customHeight="1" x14ac:dyDescent="0.3">
      <c r="B11" s="8" t="s">
        <v>21</v>
      </c>
      <c r="G11" s="334" t="str">
        <f t="shared" si="1"/>
        <v>부산</v>
      </c>
      <c r="H11" s="74"/>
      <c r="I11" s="76" t="s">
        <v>21</v>
      </c>
      <c r="J11" s="62">
        <f>+IFERROR(HLOOKUP($B11,'[1]10월누계'!$D$6:$BN$259,2,),)/1000</f>
        <v>197</v>
      </c>
      <c r="K11" s="63">
        <f>+IFERROR(HLOOKUP($B11,'[2]10월누계'!$F$6:$CP$99,2,),)/1000</f>
        <v>195.29900000000001</v>
      </c>
      <c r="L11" s="64">
        <f t="shared" si="0"/>
        <v>-1.7009999999999934</v>
      </c>
      <c r="M11" s="65">
        <f>+IFERROR(HLOOKUP($B11,'[3]10월누계'!$F$6:$CC$57,2,),)/1000</f>
        <v>197.24250000000001</v>
      </c>
      <c r="N11" s="66">
        <f t="shared" si="2"/>
        <v>-1.9435000000000002</v>
      </c>
      <c r="O11" s="62">
        <f>+IFERROR(HLOOKUP($B11,'[1]10월누계'!$D$6:$BN$259,3,),)/1000</f>
        <v>21216.895507196001</v>
      </c>
      <c r="P11" s="63">
        <f>+IFERROR(HLOOKUP($B11,'[2]10월누계'!$F$6:$CP$99,3,),)/1000</f>
        <v>21027.944947</v>
      </c>
      <c r="Q11" s="64">
        <f t="shared" si="3"/>
        <v>-188.95056019600088</v>
      </c>
      <c r="R11" s="65">
        <f>+IFERROR(HLOOKUP($B11,'[3]10월누계'!$F$6:$CC$57,3,),)/1000</f>
        <v>21243.855801000002</v>
      </c>
      <c r="S11" s="66">
        <f t="shared" si="4"/>
        <v>-215.91085400000156</v>
      </c>
      <c r="T11" s="62">
        <f>+IFERROR(HLOOKUP($B11,'[1]10월누계'!$D$6:$BN$259,16,),)/1000</f>
        <v>1796.6635146320675</v>
      </c>
      <c r="U11" s="63">
        <f>+IFERROR(HLOOKUP($B11,'[2]10월누계'!$F$6:$CP$99,16,),)/1000</f>
        <v>1889.3756590000025</v>
      </c>
      <c r="V11" s="64">
        <f t="shared" si="5"/>
        <v>92.712144367935025</v>
      </c>
      <c r="W11" s="65">
        <f>+IFERROR(HLOOKUP($B11,'[3]10월누계'!$F$6:$CC$57,16,),)/1000</f>
        <v>2050.9055080000007</v>
      </c>
      <c r="X11" s="66">
        <f t="shared" si="6"/>
        <v>-161.52984899999819</v>
      </c>
      <c r="Y11" s="62">
        <f>+[12]부산!$Q$85</f>
        <v>107699.97719388834</v>
      </c>
      <c r="Z11" s="63">
        <f>+[12]부산!$R$85</f>
        <v>107670.52031500418</v>
      </c>
      <c r="AA11" s="67">
        <f>+[13]부산!$Q$85</f>
        <v>107704.25137077457</v>
      </c>
      <c r="AB11" s="68">
        <f>+[12]부산!$Q$89</f>
        <v>84834.021757247232</v>
      </c>
      <c r="AC11" s="63">
        <f>+[12]부산!$R$89</f>
        <v>84894.169606547526</v>
      </c>
      <c r="AD11" s="69">
        <f>+[13]부산!$Q$89</f>
        <v>83958.150600023713</v>
      </c>
      <c r="AE11" s="68">
        <f t="shared" si="7"/>
        <v>22865.955436641103</v>
      </c>
      <c r="AF11" s="63">
        <f t="shared" si="7"/>
        <v>22776.350708456652</v>
      </c>
      <c r="AG11" s="69">
        <f t="shared" si="7"/>
        <v>23746.100770750854</v>
      </c>
      <c r="AH11" s="17"/>
      <c r="AI11" s="580">
        <f t="shared" si="8"/>
        <v>0.99136548223350263</v>
      </c>
      <c r="AJ11" s="494"/>
    </row>
    <row r="12" spans="1:36" s="8" customFormat="1" ht="22.5" customHeight="1" x14ac:dyDescent="0.3">
      <c r="B12" s="8" t="s">
        <v>22</v>
      </c>
      <c r="G12" s="334" t="str">
        <f t="shared" si="1"/>
        <v>서부산</v>
      </c>
      <c r="H12" s="74"/>
      <c r="I12" s="75" t="s">
        <v>22</v>
      </c>
      <c r="J12" s="45">
        <f>+IFERROR(HLOOKUP($B12,'[1]10월누계'!$D$6:$BN$259,2,),)/1000</f>
        <v>194</v>
      </c>
      <c r="K12" s="46">
        <f>+IFERROR(HLOOKUP($B12,'[2]10월누계'!$F$6:$CP$99,2,),)/1000</f>
        <v>171.01300000000001</v>
      </c>
      <c r="L12" s="47">
        <f t="shared" si="0"/>
        <v>-22.986999999999995</v>
      </c>
      <c r="M12" s="48">
        <f>+IFERROR(HLOOKUP($B12,'[3]10월누계'!$F$6:$CC$57,2,),)/1000</f>
        <v>207.172</v>
      </c>
      <c r="N12" s="49">
        <f t="shared" si="2"/>
        <v>-36.158999999999992</v>
      </c>
      <c r="O12" s="45">
        <f>+IFERROR(HLOOKUP($B12,'[1]10월누계'!$D$6:$BN$259,3,),)/1000</f>
        <v>19264.206073580019</v>
      </c>
      <c r="P12" s="46">
        <f>+IFERROR(HLOOKUP($B12,'[2]10월누계'!$F$6:$CP$99,3,),)/1000</f>
        <v>16761.080318</v>
      </c>
      <c r="Q12" s="47">
        <f t="shared" si="3"/>
        <v>-2503.1257555800184</v>
      </c>
      <c r="R12" s="48">
        <f>+IFERROR(HLOOKUP($B12,'[3]10월누계'!$F$6:$CC$57,3,),)/1000</f>
        <v>20831.233747999999</v>
      </c>
      <c r="S12" s="49">
        <f t="shared" si="4"/>
        <v>-4070.1534299999985</v>
      </c>
      <c r="T12" s="45">
        <f>+IFERROR(HLOOKUP($B12,'[1]10월누계'!$D$6:$BN$259,16,),)/1000</f>
        <v>1812.3444437957937</v>
      </c>
      <c r="U12" s="46">
        <f>+IFERROR(HLOOKUP($B12,'[2]10월누계'!$F$6:$CP$99,16,),)/1000</f>
        <v>1190.6673209999999</v>
      </c>
      <c r="V12" s="47">
        <f t="shared" si="5"/>
        <v>-621.67712279579382</v>
      </c>
      <c r="W12" s="48">
        <f>+IFERROR(HLOOKUP($B12,'[3]10월누계'!$F$6:$CC$57,16,),)/1000</f>
        <v>2290.6040859999994</v>
      </c>
      <c r="X12" s="49">
        <f t="shared" si="6"/>
        <v>-1099.9367649999995</v>
      </c>
      <c r="Y12" s="45">
        <f>+[12]서부산!$Q$85</f>
        <v>99300.031307113502</v>
      </c>
      <c r="Z12" s="46">
        <f>+[12]서부산!$R$85</f>
        <v>98049.927583635261</v>
      </c>
      <c r="AA12" s="50">
        <f>+[13]서부산!$Q$85</f>
        <v>100551.51680250299</v>
      </c>
      <c r="AB12" s="51">
        <f>+[12]서부산!$Q$89</f>
        <v>78142.39200633335</v>
      </c>
      <c r="AC12" s="46">
        <f>+[12]서부산!$R$89</f>
        <v>77714.603401312517</v>
      </c>
      <c r="AD12" s="52">
        <f>+[13]서부산!$Q$89</f>
        <v>78733.007216251877</v>
      </c>
      <c r="AE12" s="51">
        <f t="shared" si="7"/>
        <v>21157.639300780153</v>
      </c>
      <c r="AF12" s="46">
        <f t="shared" si="7"/>
        <v>20335.324182322744</v>
      </c>
      <c r="AG12" s="52">
        <f t="shared" si="7"/>
        <v>21818.509586251108</v>
      </c>
      <c r="AH12" s="17"/>
      <c r="AI12" s="580">
        <f t="shared" si="8"/>
        <v>0.8815103092783505</v>
      </c>
      <c r="AJ12" s="494"/>
    </row>
    <row r="13" spans="1:36" s="8" customFormat="1" ht="22.5" customHeight="1" x14ac:dyDescent="0.3">
      <c r="B13" s="8" t="s">
        <v>23</v>
      </c>
      <c r="G13" s="334" t="str">
        <f t="shared" si="1"/>
        <v>김해</v>
      </c>
      <c r="H13" s="74"/>
      <c r="I13" s="75" t="s">
        <v>23</v>
      </c>
      <c r="J13" s="45">
        <f>+IFERROR(HLOOKUP($B13,'[1]10월누계'!$D$6:$BN$259,2,),)/1000</f>
        <v>138</v>
      </c>
      <c r="K13" s="46">
        <f>+IFERROR(HLOOKUP($B13,'[2]10월누계'!$F$6:$CP$99,2,),)/1000</f>
        <v>83.813000000000002</v>
      </c>
      <c r="L13" s="47">
        <f t="shared" si="0"/>
        <v>-54.186999999999998</v>
      </c>
      <c r="M13" s="48">
        <f>+IFERROR(HLOOKUP($B13,'[3]10월누계'!$F$6:$CC$57,2,),)/1000</f>
        <v>134.28299999999999</v>
      </c>
      <c r="N13" s="49">
        <f t="shared" si="2"/>
        <v>-50.469999999999985</v>
      </c>
      <c r="O13" s="45">
        <f>+IFERROR(HLOOKUP($B13,'[1]10월누계'!$D$6:$BN$259,3,),)/1000</f>
        <v>13289.382549999998</v>
      </c>
      <c r="P13" s="46">
        <f>+IFERROR(HLOOKUP($B13,'[2]10월누계'!$F$6:$CP$99,3,),)/1000</f>
        <v>7561.8723000000009</v>
      </c>
      <c r="Q13" s="47">
        <f t="shared" si="3"/>
        <v>-5727.5102499999975</v>
      </c>
      <c r="R13" s="48">
        <f>+IFERROR(HLOOKUP($B13,'[3]10월누계'!$F$6:$CC$57,3,),)/1000</f>
        <v>12777.261899999998</v>
      </c>
      <c r="S13" s="49">
        <f t="shared" si="4"/>
        <v>-5215.3895999999968</v>
      </c>
      <c r="T13" s="45">
        <f>+IFERROR(HLOOKUP($B13,'[1]10월누계'!$D$6:$BN$259,16,),)/1000</f>
        <v>1156.3373391480018</v>
      </c>
      <c r="U13" s="46">
        <f>+IFERROR(HLOOKUP($B13,'[2]10월누계'!$F$6:$CP$99,16,),)/1000</f>
        <v>-347.12307899999951</v>
      </c>
      <c r="V13" s="47">
        <f t="shared" si="5"/>
        <v>-1503.4604181480013</v>
      </c>
      <c r="W13" s="48">
        <f>+IFERROR(HLOOKUP($B13,'[3]10월누계'!$F$6:$CC$57,16,),)/1000</f>
        <v>720.05565799999908</v>
      </c>
      <c r="X13" s="49">
        <f t="shared" si="6"/>
        <v>-1067.1787369999986</v>
      </c>
      <c r="Y13" s="45">
        <f>+[12]김해!$Q$85</f>
        <v>96299.873550724631</v>
      </c>
      <c r="Z13" s="46">
        <f>+[12]김해!$R$85</f>
        <v>90198.17886218318</v>
      </c>
      <c r="AA13" s="50">
        <f>+[13]김해!$Q$85</f>
        <v>95232.380110062877</v>
      </c>
      <c r="AB13" s="51">
        <f>+[12]김해!$Q$89</f>
        <v>76758.586514225419</v>
      </c>
      <c r="AC13" s="46">
        <f>+[12]김해!$R$89</f>
        <v>76947.92636585336</v>
      </c>
      <c r="AD13" s="52">
        <f>+[13]김해!$Q$89</f>
        <v>78745.257671957661</v>
      </c>
      <c r="AE13" s="51">
        <f t="shared" si="7"/>
        <v>19541.287036499212</v>
      </c>
      <c r="AF13" s="46">
        <f t="shared" si="7"/>
        <v>13250.25249632982</v>
      </c>
      <c r="AG13" s="52">
        <f t="shared" si="7"/>
        <v>16487.122438105216</v>
      </c>
      <c r="AH13" s="17"/>
      <c r="AI13" s="580">
        <f t="shared" si="8"/>
        <v>0.60734057971014499</v>
      </c>
      <c r="AJ13" s="494"/>
    </row>
    <row r="14" spans="1:36" s="8" customFormat="1" ht="22.5" customHeight="1" x14ac:dyDescent="0.3">
      <c r="B14" s="8" t="s">
        <v>24</v>
      </c>
      <c r="G14" s="334" t="str">
        <f t="shared" si="1"/>
        <v>정관</v>
      </c>
      <c r="H14" s="74"/>
      <c r="I14" s="75" t="s">
        <v>24</v>
      </c>
      <c r="J14" s="45">
        <f>+IFERROR(HLOOKUP($B14,'[1]10월누계'!$D$6:$BN$259,2,),)/1000</f>
        <v>188</v>
      </c>
      <c r="K14" s="46">
        <f>+IFERROR(HLOOKUP($B14,'[2]10월누계'!$F$6:$CP$99,2,),)/1000</f>
        <v>213.39850000000001</v>
      </c>
      <c r="L14" s="47">
        <f t="shared" si="0"/>
        <v>25.398500000000013</v>
      </c>
      <c r="M14" s="48">
        <f>+IFERROR(HLOOKUP($B14,'[3]10월누계'!$F$6:$CC$57,2,),)/1000</f>
        <v>197.18950000000001</v>
      </c>
      <c r="N14" s="49">
        <f t="shared" si="2"/>
        <v>16.209000000000003</v>
      </c>
      <c r="O14" s="45">
        <f>+IFERROR(HLOOKUP($B14,'[1]10월누계'!$D$6:$BN$259,3,),)/1000</f>
        <v>19175.989316800002</v>
      </c>
      <c r="P14" s="46">
        <f>+IFERROR(HLOOKUP($B14,'[2]10월누계'!$F$6:$CP$99,3,),)/1000</f>
        <v>21253.13495</v>
      </c>
      <c r="Q14" s="47">
        <f t="shared" si="3"/>
        <v>2077.145633199998</v>
      </c>
      <c r="R14" s="48">
        <f>+IFERROR(HLOOKUP($B14,'[3]10월누계'!$F$6:$CC$57,3,),)/1000</f>
        <v>19917.169072000001</v>
      </c>
      <c r="S14" s="49">
        <f t="shared" si="4"/>
        <v>1335.9658779999991</v>
      </c>
      <c r="T14" s="45">
        <f>+IFERROR(HLOOKUP($B14,'[1]10월누계'!$D$6:$BN$259,16,),)/1000</f>
        <v>1561.2825495431391</v>
      </c>
      <c r="U14" s="46">
        <f>+IFERROR(HLOOKUP($B14,'[2]10월누계'!$F$6:$CP$99,16,),)/1000</f>
        <v>1707.6805010000019</v>
      </c>
      <c r="V14" s="47">
        <f t="shared" si="5"/>
        <v>146.39795145686276</v>
      </c>
      <c r="W14" s="48">
        <f>+IFERROR(HLOOKUP($B14,'[3]10월누계'!$F$6:$CC$57,16,),)/1000</f>
        <v>1743.0185790000012</v>
      </c>
      <c r="X14" s="49">
        <f t="shared" si="6"/>
        <v>-35.338077999999314</v>
      </c>
      <c r="Y14" s="45">
        <f>+[12]정관!$Q$85</f>
        <v>101999.94317446811</v>
      </c>
      <c r="Z14" s="46">
        <f>+[12]정관!$R$85</f>
        <v>99608.788259465815</v>
      </c>
      <c r="AA14" s="50">
        <f>+[13]정관!$Q$85</f>
        <v>101005.2212313536</v>
      </c>
      <c r="AB14" s="51">
        <f>+[12]정관!$Q$89</f>
        <v>82198.378884936028</v>
      </c>
      <c r="AC14" s="46">
        <f>+[12]정관!$R$89</f>
        <v>81866.523691662325</v>
      </c>
      <c r="AD14" s="52">
        <f>+[13]정관!$Q$89</f>
        <v>81770.401864067055</v>
      </c>
      <c r="AE14" s="51">
        <f t="shared" si="7"/>
        <v>19801.564289532078</v>
      </c>
      <c r="AF14" s="46">
        <f t="shared" si="7"/>
        <v>17742.26456780349</v>
      </c>
      <c r="AG14" s="52">
        <f t="shared" si="7"/>
        <v>19234.819367286545</v>
      </c>
      <c r="AH14" s="17"/>
      <c r="AI14" s="580">
        <f t="shared" si="8"/>
        <v>1.1350984042553192</v>
      </c>
      <c r="AJ14" s="494"/>
    </row>
    <row r="15" spans="1:36" s="8" customFormat="1" ht="22.5" customHeight="1" x14ac:dyDescent="0.3">
      <c r="B15" s="8" t="s">
        <v>25</v>
      </c>
      <c r="G15" s="334" t="str">
        <f t="shared" si="1"/>
        <v>양산</v>
      </c>
      <c r="H15" s="74"/>
      <c r="I15" s="75" t="s">
        <v>25</v>
      </c>
      <c r="J15" s="45">
        <f>+IFERROR(HLOOKUP($B15,'[1]10월누계'!$D$6:$BN$259,2,),)/1000</f>
        <v>114</v>
      </c>
      <c r="K15" s="46">
        <f>+IFERROR(HLOOKUP($B15,'[2]10월누계'!$F$6:$CP$99,2,),)/1000</f>
        <v>68.319999999999993</v>
      </c>
      <c r="L15" s="47">
        <f t="shared" si="0"/>
        <v>-45.680000000000007</v>
      </c>
      <c r="M15" s="48">
        <f>+IFERROR(HLOOKUP($B15,'[3]10월누계'!$F$6:$CC$57,2,),)/1000</f>
        <v>126.68899999999999</v>
      </c>
      <c r="N15" s="49">
        <f t="shared" si="2"/>
        <v>-58.369</v>
      </c>
      <c r="O15" s="45">
        <f>+IFERROR(HLOOKUP($B15,'[1]10월누계'!$D$6:$BN$259,3,),)/1000</f>
        <v>10775.3485</v>
      </c>
      <c r="P15" s="46">
        <f>+IFERROR(HLOOKUP($B15,'[2]10월누계'!$F$6:$CP$99,3,),)/1000</f>
        <v>6321.0538470000001</v>
      </c>
      <c r="Q15" s="47">
        <f t="shared" si="3"/>
        <v>-4454.2946529999999</v>
      </c>
      <c r="R15" s="48">
        <f>+IFERROR(HLOOKUP($B15,'[3]10월누계'!$F$6:$CC$57,3,),)/1000</f>
        <v>11748.749417999999</v>
      </c>
      <c r="S15" s="49">
        <f t="shared" si="4"/>
        <v>-5427.6955709999993</v>
      </c>
      <c r="T15" s="45">
        <f>+IFERROR(HLOOKUP($B15,'[1]10월누계'!$D$6:$BN$259,16,),)/1000</f>
        <v>915.4781027142086</v>
      </c>
      <c r="U15" s="46">
        <f>+IFERROR(HLOOKUP($B15,'[2]10월누계'!$F$6:$CP$99,16,),)/1000</f>
        <v>-109.57679299999938</v>
      </c>
      <c r="V15" s="47">
        <f t="shared" si="5"/>
        <v>-1025.054895714208</v>
      </c>
      <c r="W15" s="48">
        <f>+IFERROR(HLOOKUP($B15,'[3]10월누계'!$F$6:$CC$57,16,),)/1000</f>
        <v>1086.1549300000015</v>
      </c>
      <c r="X15" s="49">
        <f t="shared" si="6"/>
        <v>-1195.7317230000008</v>
      </c>
      <c r="Y15" s="45">
        <f>+[12]양산!$Q$85</f>
        <v>94520.600877192977</v>
      </c>
      <c r="Z15" s="46">
        <f>+[12]양산!$R$85</f>
        <v>92504.84990319176</v>
      </c>
      <c r="AA15" s="50">
        <f>+[13]양산!$Q$85</f>
        <v>92736.9338932346</v>
      </c>
      <c r="AB15" s="51">
        <f>+[12]양산!$Q$89</f>
        <v>73776.621024924098</v>
      </c>
      <c r="AC15" s="46">
        <f>+[12]양산!$R$89</f>
        <v>73491.801915573946</v>
      </c>
      <c r="AD15" s="52">
        <f>+[13]양산!$Q$89</f>
        <v>72990.590046963174</v>
      </c>
      <c r="AE15" s="51">
        <f t="shared" si="7"/>
        <v>20743.97985226888</v>
      </c>
      <c r="AF15" s="46">
        <f t="shared" si="7"/>
        <v>19013.047987617814</v>
      </c>
      <c r="AG15" s="52">
        <f t="shared" si="7"/>
        <v>19746.343846271426</v>
      </c>
      <c r="AH15" s="17"/>
      <c r="AI15" s="580">
        <f t="shared" si="8"/>
        <v>0.599298245614035</v>
      </c>
      <c r="AJ15" s="494"/>
    </row>
    <row r="16" spans="1:36" s="8" customFormat="1" ht="22.5" customHeight="1" x14ac:dyDescent="0.3">
      <c r="B16" s="8" t="s">
        <v>26</v>
      </c>
      <c r="G16" s="334" t="str">
        <f t="shared" si="1"/>
        <v>창원</v>
      </c>
      <c r="H16" s="74"/>
      <c r="I16" s="75" t="s">
        <v>26</v>
      </c>
      <c r="J16" s="45">
        <f>+IFERROR(HLOOKUP($B16,'[1]10월누계'!$D$6:$BN$259,2,),)/1000</f>
        <v>122</v>
      </c>
      <c r="K16" s="46">
        <f>+IFERROR(HLOOKUP($B16,'[2]10월누계'!$F$6:$CP$99,2,),)/1000</f>
        <v>91.927000000000007</v>
      </c>
      <c r="L16" s="47">
        <f t="shared" si="0"/>
        <v>-30.072999999999993</v>
      </c>
      <c r="M16" s="48">
        <f>+IFERROR(HLOOKUP($B16,'[3]10월누계'!$F$6:$CC$57,2,),)/1000</f>
        <v>170.64949999999999</v>
      </c>
      <c r="N16" s="49">
        <f t="shared" si="2"/>
        <v>-78.722499999999982</v>
      </c>
      <c r="O16" s="45">
        <f>+IFERROR(HLOOKUP($B16,'[1]10월누계'!$D$6:$BN$259,3,),)/1000</f>
        <v>12277.033692960002</v>
      </c>
      <c r="P16" s="46">
        <f>+IFERROR(HLOOKUP($B16,'[2]10월누계'!$F$6:$CP$99,3,),)/1000</f>
        <v>8761.8403800000015</v>
      </c>
      <c r="Q16" s="47">
        <f t="shared" si="3"/>
        <v>-3515.1933129600002</v>
      </c>
      <c r="R16" s="48">
        <f>+IFERROR(HLOOKUP($B16,'[3]10월누계'!$F$6:$CC$57,3,),)/1000</f>
        <v>17191.816300000002</v>
      </c>
      <c r="S16" s="49">
        <f t="shared" si="4"/>
        <v>-8429.9759200000008</v>
      </c>
      <c r="T16" s="45">
        <f>+IFERROR(HLOOKUP($B16,'[1]10월누계'!$D$6:$BN$259,16,),)/1000</f>
        <v>1103.6292768490316</v>
      </c>
      <c r="U16" s="46">
        <f>+IFERROR(HLOOKUP($B16,'[2]10월누계'!$F$6:$CP$99,16,),)/1000</f>
        <v>236.56987500000145</v>
      </c>
      <c r="V16" s="47">
        <f t="shared" si="5"/>
        <v>-867.05940184903011</v>
      </c>
      <c r="W16" s="48">
        <f>+IFERROR(HLOOKUP($B16,'[3]10월누계'!$F$6:$CC$57,16,),)/1000</f>
        <v>2438.770053000002</v>
      </c>
      <c r="X16" s="49">
        <f t="shared" si="6"/>
        <v>-2202.2001780000005</v>
      </c>
      <c r="Y16" s="45">
        <f>+[12]창원!$Q$85</f>
        <v>100631.4237127869</v>
      </c>
      <c r="Z16" s="46">
        <f>+[12]창원!$R$85</f>
        <v>95313.024247500754</v>
      </c>
      <c r="AA16" s="50">
        <f>+[13]창원!$Q$85</f>
        <v>100743.43200536774</v>
      </c>
      <c r="AB16" s="51">
        <f>+[12]창원!$Q$89</f>
        <v>76028.359533775452</v>
      </c>
      <c r="AC16" s="46">
        <f>+[12]창원!$R$89</f>
        <v>73070.291318202086</v>
      </c>
      <c r="AD16" s="52">
        <f>+[13]창원!$Q$89</f>
        <v>74908.31970491122</v>
      </c>
      <c r="AE16" s="51">
        <f t="shared" si="7"/>
        <v>24603.064179011446</v>
      </c>
      <c r="AF16" s="46">
        <f t="shared" si="7"/>
        <v>22242.732929298669</v>
      </c>
      <c r="AG16" s="52">
        <f t="shared" si="7"/>
        <v>25835.112300456516</v>
      </c>
      <c r="AH16" s="17"/>
      <c r="AI16" s="580">
        <f t="shared" si="8"/>
        <v>0.75350000000000006</v>
      </c>
      <c r="AJ16" s="494"/>
    </row>
    <row r="17" spans="2:44" s="8" customFormat="1" ht="22.5" customHeight="1" x14ac:dyDescent="0.3">
      <c r="B17" s="8" t="s">
        <v>70</v>
      </c>
      <c r="G17" s="334" t="str">
        <f t="shared" si="1"/>
        <v>대구</v>
      </c>
      <c r="H17" s="74"/>
      <c r="I17" s="75" t="s">
        <v>70</v>
      </c>
      <c r="J17" s="45">
        <f>+IFERROR(HLOOKUP($B17,'[1]10월누계'!$D$6:$BN$259,2,),)/1000</f>
        <v>121</v>
      </c>
      <c r="K17" s="46">
        <f>+IFERROR(HLOOKUP($B17,'[2]10월누계'!$F$6:$CP$99,2,),)/1000</f>
        <v>98.262</v>
      </c>
      <c r="L17" s="47">
        <f t="shared" si="0"/>
        <v>-22.738</v>
      </c>
      <c r="M17" s="48">
        <f>+IFERROR(HLOOKUP($B17,'[3]10월누계'!$F$6:$CC$57,2,),)/1000</f>
        <v>155.88300000000001</v>
      </c>
      <c r="N17" s="49">
        <f t="shared" si="2"/>
        <v>-57.621000000000009</v>
      </c>
      <c r="O17" s="45">
        <f>+IFERROR(HLOOKUP($B17,'[1]10월누계'!$D$6:$BN$259,3,),)/1000</f>
        <v>11745.128440748311</v>
      </c>
      <c r="P17" s="46">
        <f>+IFERROR(HLOOKUP($B17,'[2]10월누계'!$F$6:$CP$99,3,),)/1000</f>
        <v>8708.1556710000004</v>
      </c>
      <c r="Q17" s="47">
        <f t="shared" si="3"/>
        <v>-3036.9727697483104</v>
      </c>
      <c r="R17" s="48">
        <f>+IFERROR(HLOOKUP($B17,'[3]10월누계'!$F$6:$CC$57,3,),)/1000</f>
        <v>15602.772502</v>
      </c>
      <c r="S17" s="49">
        <f t="shared" si="4"/>
        <v>-6894.6168309999994</v>
      </c>
      <c r="T17" s="45">
        <f>+IFERROR(HLOOKUP($B17,'[1]10월누계'!$D$6:$BN$259,16,),)/1000</f>
        <v>1077.9801242107742</v>
      </c>
      <c r="U17" s="46">
        <f>+IFERROR(HLOOKUP($B17,'[2]10월누계'!$F$6:$CP$99,16,),)/1000</f>
        <v>24.142329000000174</v>
      </c>
      <c r="V17" s="47">
        <f t="shared" si="5"/>
        <v>-1053.8377952107739</v>
      </c>
      <c r="W17" s="48">
        <f>+IFERROR(HLOOKUP($B17,'[3]10월누계'!$F$6:$CC$57,16,),)/1000</f>
        <v>2216.7038510000002</v>
      </c>
      <c r="X17" s="49">
        <f t="shared" si="6"/>
        <v>-2192.561522</v>
      </c>
      <c r="Y17" s="45">
        <f>+[12]대구!$Q$85</f>
        <v>97067.177196267032</v>
      </c>
      <c r="Z17" s="46">
        <f>+[12]대구!$R$85</f>
        <v>88642.422403341654</v>
      </c>
      <c r="AA17" s="50">
        <f>+[13]대구!$Q$85</f>
        <v>100092.59959071867</v>
      </c>
      <c r="AB17" s="51">
        <f>+[12]대구!$Q$89</f>
        <v>73096.539275073897</v>
      </c>
      <c r="AC17" s="46">
        <f>+[12]대구!$R$89</f>
        <v>72897.058340957621</v>
      </c>
      <c r="AD17" s="52">
        <f>+[13]대구!$Q$89</f>
        <v>74637.952341555399</v>
      </c>
      <c r="AE17" s="51">
        <f t="shared" si="7"/>
        <v>23970.637921193134</v>
      </c>
      <c r="AF17" s="46">
        <f t="shared" si="7"/>
        <v>15745.364062384033</v>
      </c>
      <c r="AG17" s="52">
        <f t="shared" si="7"/>
        <v>25454.647249163274</v>
      </c>
      <c r="AH17" s="17"/>
      <c r="AI17" s="580">
        <f t="shared" si="8"/>
        <v>0.8120826446280992</v>
      </c>
      <c r="AJ17" s="494"/>
    </row>
    <row r="18" spans="2:44" s="8" customFormat="1" ht="22.5" customHeight="1" x14ac:dyDescent="0.3">
      <c r="B18" s="8" t="s">
        <v>71</v>
      </c>
      <c r="G18" s="336" t="str">
        <f t="shared" si="1"/>
        <v>울산</v>
      </c>
      <c r="H18" s="74"/>
      <c r="I18" s="77" t="s">
        <v>71</v>
      </c>
      <c r="J18" s="9">
        <f>+IFERROR(HLOOKUP($B18,'[1]10월누계'!$D$6:$BN$259,2,),)/1000</f>
        <v>119.5</v>
      </c>
      <c r="K18" s="10">
        <f>+IFERROR(HLOOKUP($B18,'[2]10월누계'!$F$6:$CP$99,2,),)/1000</f>
        <v>108.9315</v>
      </c>
      <c r="L18" s="11">
        <f t="shared" si="0"/>
        <v>-10.5685</v>
      </c>
      <c r="M18" s="12">
        <f>+IFERROR(HLOOKUP($B18,'[3]10월누계'!$F$6:$CC$57,2,),)/1000</f>
        <v>108.774</v>
      </c>
      <c r="N18" s="13">
        <f t="shared" si="2"/>
        <v>0.15749999999999886</v>
      </c>
      <c r="O18" s="9">
        <f>+IFERROR(HLOOKUP($B18,'[1]10월누계'!$D$6:$BN$259,3,),)/1000</f>
        <v>12245.449000000001</v>
      </c>
      <c r="P18" s="10">
        <f>+IFERROR(HLOOKUP($B18,'[2]10월누계'!$F$6:$CP$99,3,),)/1000</f>
        <v>11372.861967999999</v>
      </c>
      <c r="Q18" s="11">
        <f t="shared" si="3"/>
        <v>-872.58703200000127</v>
      </c>
      <c r="R18" s="12">
        <f>+IFERROR(HLOOKUP($B18,'[3]10월누계'!$F$6:$CC$57,3,),)/1000</f>
        <v>11248.414042000002</v>
      </c>
      <c r="S18" s="13">
        <f t="shared" si="4"/>
        <v>124.4479259999971</v>
      </c>
      <c r="T18" s="9">
        <f>+IFERROR(HLOOKUP($B18,'[1]10월누계'!$D$6:$BN$259,16,),)/1000</f>
        <v>947.24572623057156</v>
      </c>
      <c r="U18" s="10">
        <f>+IFERROR(HLOOKUP($B18,'[2]10월누계'!$F$6:$CP$99,16,),)/1000</f>
        <v>916.16563899999926</v>
      </c>
      <c r="V18" s="11">
        <f t="shared" si="5"/>
        <v>-31.080087230572303</v>
      </c>
      <c r="W18" s="12">
        <f>+IFERROR(HLOOKUP($B18,'[3]10월누계'!$F$6:$CC$57,16,),)/1000</f>
        <v>1238.1898330000006</v>
      </c>
      <c r="X18" s="13">
        <f t="shared" si="6"/>
        <v>-322.02419400000133</v>
      </c>
      <c r="Y18" s="9">
        <f>+[12]울산!$Q$85</f>
        <v>102472.37656903766</v>
      </c>
      <c r="Z18" s="10">
        <f>+[12]울산!$R$85</f>
        <v>104403.79475174764</v>
      </c>
      <c r="AA18" s="14">
        <f>+[13]울산!$Q$85</f>
        <v>103410.8706308493</v>
      </c>
      <c r="AB18" s="15">
        <f>+[12]울산!$Q$89</f>
        <v>81915.504826694538</v>
      </c>
      <c r="AC18" s="10">
        <f>+[12]울산!$R$89</f>
        <v>82371.71905541567</v>
      </c>
      <c r="AD18" s="16">
        <f>+[13]울산!$Q$89</f>
        <v>80071.378177975814</v>
      </c>
      <c r="AE18" s="15">
        <f t="shared" si="7"/>
        <v>20556.871742343123</v>
      </c>
      <c r="AF18" s="10">
        <f t="shared" si="7"/>
        <v>22032.075696331973</v>
      </c>
      <c r="AG18" s="16">
        <f t="shared" si="7"/>
        <v>23339.492452873485</v>
      </c>
      <c r="AH18" s="17"/>
      <c r="AI18" s="580">
        <f t="shared" si="8"/>
        <v>0.91156066945606695</v>
      </c>
      <c r="AJ18" s="494"/>
    </row>
    <row r="19" spans="2:44" s="8" customFormat="1" ht="22.5" customHeight="1" x14ac:dyDescent="0.3">
      <c r="B19" s="8" t="s">
        <v>76</v>
      </c>
      <c r="G19" s="336" t="str">
        <f t="shared" si="1"/>
        <v>아산</v>
      </c>
      <c r="H19" s="74"/>
      <c r="I19" s="75" t="s">
        <v>27</v>
      </c>
      <c r="J19" s="45">
        <f>+IFERROR(HLOOKUP($B19,'[1]10월누계'!$D$6:$BN$259,2,),)/1000</f>
        <v>219</v>
      </c>
      <c r="K19" s="46">
        <f>+IFERROR(HLOOKUP($B19,'[2]10월누계'!$F$6:$CP$99,2,),)/1000</f>
        <v>208.976</v>
      </c>
      <c r="L19" s="47">
        <f t="shared" si="0"/>
        <v>-10.024000000000001</v>
      </c>
      <c r="M19" s="48">
        <f>+IFERROR(HLOOKUP($B19,'[3]10월누계'!$F$6:$CC$57,2,),)/1000</f>
        <v>267.06150000000002</v>
      </c>
      <c r="N19" s="49">
        <f t="shared" si="2"/>
        <v>-58.085500000000025</v>
      </c>
      <c r="O19" s="45">
        <f>+IFERROR(HLOOKUP($B19,'[1]10월누계'!$D$6:$BN$259,3,),)/1000</f>
        <v>22557</v>
      </c>
      <c r="P19" s="46">
        <f>+IFERROR(HLOOKUP($B19,'[2]10월누계'!$F$6:$CP$99,3,),)/1000</f>
        <v>20122.703657000002</v>
      </c>
      <c r="Q19" s="47">
        <f t="shared" si="3"/>
        <v>-2434.2963429999982</v>
      </c>
      <c r="R19" s="48">
        <f>+IFERROR(HLOOKUP($B19,'[3]10월누계'!$F$6:$CC$57,3,),)/1000</f>
        <v>26913.525007000004</v>
      </c>
      <c r="S19" s="49">
        <f t="shared" si="4"/>
        <v>-6790.821350000002</v>
      </c>
      <c r="T19" s="45">
        <f>+IFERROR(HLOOKUP($B19,'[1]10월누계'!$D$6:$BN$259,16,),)/1000</f>
        <v>2864.5775880586198</v>
      </c>
      <c r="U19" s="46">
        <f>+IFERROR(HLOOKUP($B19,'[2]10월누계'!$F$6:$CP$99,16,),)/1000</f>
        <v>844.40573200000324</v>
      </c>
      <c r="V19" s="47">
        <f t="shared" si="5"/>
        <v>-2020.1718560586164</v>
      </c>
      <c r="W19" s="48">
        <f>+IFERROR(HLOOKUP($B19,'[3]10월누계'!$F$6:$CC$57,16,),)/1000</f>
        <v>3882.6669790000042</v>
      </c>
      <c r="X19" s="49">
        <f t="shared" si="6"/>
        <v>-3038.2612470000008</v>
      </c>
      <c r="Y19" s="45">
        <f>+[12]아산!$Q$85</f>
        <v>103000</v>
      </c>
      <c r="Z19" s="46">
        <f>+[12]아산!$R$85</f>
        <v>96281.155876183999</v>
      </c>
      <c r="AA19" s="50">
        <f>+[13]아산!$Q$85</f>
        <v>100725.63408039347</v>
      </c>
      <c r="AB19" s="51">
        <f>+[12]아산!$Q$89</f>
        <v>78390.842508824746</v>
      </c>
      <c r="AC19" s="46">
        <f>+[12]아산!$R$89</f>
        <v>80723.026897508258</v>
      </c>
      <c r="AD19" s="52">
        <f>+[13]아산!$Q$89</f>
        <v>76735.5377352285</v>
      </c>
      <c r="AE19" s="51">
        <f t="shared" si="7"/>
        <v>24609.157491175254</v>
      </c>
      <c r="AF19" s="46">
        <f t="shared" si="7"/>
        <v>15558.128978675741</v>
      </c>
      <c r="AG19" s="52">
        <f t="shared" si="7"/>
        <v>23990.096345164973</v>
      </c>
      <c r="AH19" s="17"/>
      <c r="AI19" s="580">
        <f t="shared" si="8"/>
        <v>0.95422831050228307</v>
      </c>
      <c r="AJ19" s="494"/>
    </row>
    <row r="20" spans="2:44" s="8" customFormat="1" ht="22.5" customHeight="1" x14ac:dyDescent="0.3">
      <c r="B20" s="8" t="s">
        <v>72</v>
      </c>
      <c r="G20" s="336" t="str">
        <f t="shared" si="1"/>
        <v>전주</v>
      </c>
      <c r="H20" s="74"/>
      <c r="I20" s="75" t="s">
        <v>72</v>
      </c>
      <c r="J20" s="45">
        <f>+IFERROR(HLOOKUP($B20,'[1]10월누계'!$D$6:$BN$259,2,),)/1000</f>
        <v>107</v>
      </c>
      <c r="K20" s="46">
        <f>+IFERROR(HLOOKUP($B20,'[2]10월누계'!$F$6:$CP$99,2,),)/1000</f>
        <v>128.048</v>
      </c>
      <c r="L20" s="47">
        <f t="shared" si="0"/>
        <v>21.048000000000002</v>
      </c>
      <c r="M20" s="48">
        <f>+IFERROR(HLOOKUP($B20,'[3]10월누계'!$F$6:$CC$57,2,),)/1000</f>
        <v>85.15</v>
      </c>
      <c r="N20" s="49">
        <f t="shared" si="2"/>
        <v>42.897999999999996</v>
      </c>
      <c r="O20" s="45">
        <f>+IFERROR(HLOOKUP($B20,'[1]10월누계'!$D$6:$BN$259,3,),)/1000</f>
        <v>10547.6228266</v>
      </c>
      <c r="P20" s="46">
        <f>+IFERROR(HLOOKUP($B20,'[2]10월누계'!$F$6:$CP$99,3,),)/1000</f>
        <v>12455.127586999999</v>
      </c>
      <c r="Q20" s="47">
        <f t="shared" si="3"/>
        <v>1907.5047603999992</v>
      </c>
      <c r="R20" s="48">
        <f>+IFERROR(HLOOKUP($B20,'[3]10월누계'!$F$6:$CC$57,3,),)/1000</f>
        <v>8192.708802000001</v>
      </c>
      <c r="S20" s="49">
        <f t="shared" si="4"/>
        <v>4262.418784999998</v>
      </c>
      <c r="T20" s="45">
        <f>+IFERROR(HLOOKUP($B20,'[1]10월누계'!$D$6:$BN$259,16,),)/1000</f>
        <v>1175.206909083312</v>
      </c>
      <c r="U20" s="46">
        <f>+IFERROR(HLOOKUP($B20,'[2]10월누계'!$F$6:$CP$99,16,),)/1000</f>
        <v>1225.8349309999987</v>
      </c>
      <c r="V20" s="47">
        <f t="shared" si="5"/>
        <v>50.628021916686748</v>
      </c>
      <c r="W20" s="48">
        <f>+IFERROR(HLOOKUP($B20,'[3]10월누계'!$F$6:$CC$57,16,),)/1000</f>
        <v>565.11720100000025</v>
      </c>
      <c r="X20" s="49">
        <f t="shared" si="6"/>
        <v>660.71772999999848</v>
      </c>
      <c r="Y20" s="45">
        <f>+[12]전주!$Q$85</f>
        <v>98575.914267289714</v>
      </c>
      <c r="Z20" s="46">
        <f>+[12]전주!$R$85</f>
        <v>97269.221108492857</v>
      </c>
      <c r="AA20" s="50">
        <f>+[13]전주!$Q$85</f>
        <v>96216.462650092813</v>
      </c>
      <c r="AB20" s="51">
        <f>+[12]전주!$Q$89</f>
        <v>73168.868356853796</v>
      </c>
      <c r="AC20" s="46">
        <f>+[12]전주!$R$89</f>
        <v>75569.005414817162</v>
      </c>
      <c r="AD20" s="52">
        <f>+[13]전주!$Q$89</f>
        <v>72048.068991028238</v>
      </c>
      <c r="AE20" s="51">
        <f t="shared" si="7"/>
        <v>25407.045910435918</v>
      </c>
      <c r="AF20" s="46">
        <f t="shared" si="7"/>
        <v>21700.215693675695</v>
      </c>
      <c r="AG20" s="52">
        <f t="shared" si="7"/>
        <v>24168.393659064575</v>
      </c>
      <c r="AH20" s="17"/>
      <c r="AI20" s="580">
        <f t="shared" si="8"/>
        <v>1.1967102803738319</v>
      </c>
      <c r="AJ20" s="494"/>
    </row>
    <row r="21" spans="2:44" s="8" customFormat="1" ht="22.5" customHeight="1" x14ac:dyDescent="0.3">
      <c r="B21" s="8" t="s">
        <v>73</v>
      </c>
      <c r="G21" s="336" t="str">
        <f t="shared" si="1"/>
        <v>군산</v>
      </c>
      <c r="H21" s="74"/>
      <c r="I21" s="75" t="s">
        <v>73</v>
      </c>
      <c r="J21" s="45">
        <f>+IFERROR(HLOOKUP($B21,'[1]10월누계'!$D$6:$BN$259,2,),)/1000</f>
        <v>70</v>
      </c>
      <c r="K21" s="46">
        <f>+IFERROR(HLOOKUP($B21,'[2]10월누계'!$F$6:$CP$99,2,),)/1000</f>
        <v>47.997999999999998</v>
      </c>
      <c r="L21" s="47">
        <f t="shared" si="0"/>
        <v>-22.002000000000002</v>
      </c>
      <c r="M21" s="48">
        <f>+IFERROR(HLOOKUP($B21,'[3]10월누계'!$F$6:$CC$57,2,),)/1000</f>
        <v>85.586500000000001</v>
      </c>
      <c r="N21" s="49">
        <f t="shared" si="2"/>
        <v>-37.588500000000003</v>
      </c>
      <c r="O21" s="45">
        <f>+IFERROR(HLOOKUP($B21,'[1]10월누계'!$D$6:$BN$259,3,),)/1000</f>
        <v>7768.4629830000013</v>
      </c>
      <c r="P21" s="46">
        <f>+IFERROR(HLOOKUP($B21,'[2]10월누계'!$F$6:$CP$99,3,),)/1000</f>
        <v>5272.3094409999985</v>
      </c>
      <c r="Q21" s="47">
        <f t="shared" si="3"/>
        <v>-2496.1535420000027</v>
      </c>
      <c r="R21" s="48">
        <f>+IFERROR(HLOOKUP($B21,'[3]10월누계'!$F$6:$CC$57,3,),)/1000</f>
        <v>9687.7000860000007</v>
      </c>
      <c r="S21" s="49">
        <f t="shared" si="4"/>
        <v>-4415.3906450000022</v>
      </c>
      <c r="T21" s="45">
        <f>+IFERROR(HLOOKUP($B21,'[1]10월누계'!$D$6:$BN$259,16,),)/1000</f>
        <v>1839.8775434962504</v>
      </c>
      <c r="U21" s="46">
        <f>+IFERROR(HLOOKUP($B21,'[2]10월누계'!$F$6:$CP$99,16,),)/1000</f>
        <v>952.38856099999873</v>
      </c>
      <c r="V21" s="47">
        <f t="shared" si="5"/>
        <v>-887.48898249625165</v>
      </c>
      <c r="W21" s="48">
        <f>+IFERROR(HLOOKUP($B21,'[3]10월누계'!$F$6:$CC$57,16,),)/1000</f>
        <v>2690.6226990000023</v>
      </c>
      <c r="X21" s="49">
        <f t="shared" si="6"/>
        <v>-1738.2341380000034</v>
      </c>
      <c r="Y21" s="45">
        <f>+[12]군산!$Q$85</f>
        <v>110978.04261428573</v>
      </c>
      <c r="Z21" s="46">
        <f>+[12]군산!$R$85</f>
        <v>109828.4700874367</v>
      </c>
      <c r="AA21" s="50">
        <f>+[13]군산!$Q$85</f>
        <v>113207.38480075337</v>
      </c>
      <c r="AB21" s="51">
        <f>+[12]군산!$Q$89</f>
        <v>72621.816183386909</v>
      </c>
      <c r="AC21" s="46">
        <f>+[12]군산!$R$89</f>
        <v>72426.846544800472</v>
      </c>
      <c r="AD21" s="52">
        <f>+[13]군산!$Q$89</f>
        <v>72302.133567271987</v>
      </c>
      <c r="AE21" s="51">
        <f t="shared" si="7"/>
        <v>38356.226430898823</v>
      </c>
      <c r="AF21" s="46">
        <f t="shared" si="7"/>
        <v>37401.623542636225</v>
      </c>
      <c r="AG21" s="52">
        <f t="shared" si="7"/>
        <v>40905.25123348138</v>
      </c>
      <c r="AH21" s="17"/>
      <c r="AI21" s="580">
        <f t="shared" si="8"/>
        <v>0.68568571428571423</v>
      </c>
      <c r="AJ21" s="494"/>
    </row>
    <row r="22" spans="2:44" s="8" customFormat="1" ht="22.5" customHeight="1" x14ac:dyDescent="0.3">
      <c r="B22" s="8" t="s">
        <v>74</v>
      </c>
      <c r="G22" s="336" t="str">
        <f t="shared" si="1"/>
        <v>원주</v>
      </c>
      <c r="H22" s="74"/>
      <c r="I22" s="75" t="s">
        <v>74</v>
      </c>
      <c r="J22" s="45">
        <f>+IFERROR(HLOOKUP($B22,'[1]10월누계'!$D$6:$BN$259,2,),)/1000</f>
        <v>45</v>
      </c>
      <c r="K22" s="46">
        <f>+IFERROR(HLOOKUP($B22,'[2]10월누계'!$F$6:$CP$99,2,),)/1000</f>
        <v>27.981000000000002</v>
      </c>
      <c r="L22" s="47">
        <f t="shared" si="0"/>
        <v>-17.018999999999998</v>
      </c>
      <c r="M22" s="48">
        <f>+IFERROR(HLOOKUP($B22,'[3]10월누계'!$F$6:$CC$57,2,),)/1000</f>
        <v>55.917000000000002</v>
      </c>
      <c r="N22" s="49">
        <f t="shared" si="2"/>
        <v>-27.936</v>
      </c>
      <c r="O22" s="45">
        <f>+IFERROR(HLOOKUP($B22,'[1]10월누계'!$D$6:$BN$259,3,),)/1000</f>
        <v>5040</v>
      </c>
      <c r="P22" s="46">
        <f>+IFERROR(HLOOKUP($B22,'[2]10월누계'!$F$6:$CP$99,3,),)/1000</f>
        <v>3052.954099</v>
      </c>
      <c r="Q22" s="47">
        <f t="shared" si="3"/>
        <v>-1987.045901</v>
      </c>
      <c r="R22" s="48">
        <f>+IFERROR(HLOOKUP($B22,'[3]10월누계'!$F$6:$CC$57,3,),)/1000</f>
        <v>6269.2926669999997</v>
      </c>
      <c r="S22" s="49">
        <f t="shared" si="4"/>
        <v>-3216.3385679999997</v>
      </c>
      <c r="T22" s="45">
        <f>+IFERROR(HLOOKUP($B22,'[1]10월누계'!$D$6:$BN$259,16,),)/1000</f>
        <v>802.95939672164457</v>
      </c>
      <c r="U22" s="46">
        <f>+IFERROR(HLOOKUP($B22,'[2]10월누계'!$F$6:$CP$99,16,),)/1000</f>
        <v>168.26628799999992</v>
      </c>
      <c r="V22" s="47">
        <f t="shared" si="5"/>
        <v>-634.69310872164465</v>
      </c>
      <c r="W22" s="48">
        <f>+IFERROR(HLOOKUP($B22,'[3]10월누계'!$F$6:$CC$57,16,),)/1000</f>
        <v>1233.0110899999993</v>
      </c>
      <c r="X22" s="49">
        <f t="shared" si="6"/>
        <v>-1064.7448019999993</v>
      </c>
      <c r="Y22" s="45">
        <f>+[12]원주!$Q$85</f>
        <v>112000</v>
      </c>
      <c r="Z22" s="46">
        <f>+[12]원주!$R$85</f>
        <v>109109.61569258265</v>
      </c>
      <c r="AA22" s="50">
        <f>+[13]원주!$Q$85</f>
        <v>112123.11157039581</v>
      </c>
      <c r="AB22" s="51">
        <f>+[12]원주!$Q$89</f>
        <v>73300.52217974326</v>
      </c>
      <c r="AC22" s="46">
        <f>+[12]원주!$R$89</f>
        <v>71526.439285075961</v>
      </c>
      <c r="AD22" s="52">
        <f>+[13]원주!$Q$89</f>
        <v>73820.926222174516</v>
      </c>
      <c r="AE22" s="51">
        <f t="shared" si="7"/>
        <v>38699.47782025674</v>
      </c>
      <c r="AF22" s="46">
        <f t="shared" si="7"/>
        <v>37583.176407506689</v>
      </c>
      <c r="AG22" s="52">
        <f t="shared" si="7"/>
        <v>38302.18534822129</v>
      </c>
      <c r="AH22" s="17"/>
      <c r="AI22" s="580">
        <f t="shared" si="8"/>
        <v>0.62180000000000002</v>
      </c>
      <c r="AJ22" s="494"/>
    </row>
    <row r="23" spans="2:44" s="8" customFormat="1" ht="22.5" customHeight="1" x14ac:dyDescent="0.3">
      <c r="B23" s="8" t="s">
        <v>75</v>
      </c>
      <c r="F23" s="84"/>
      <c r="G23" s="334" t="str">
        <f t="shared" si="1"/>
        <v>제주</v>
      </c>
      <c r="H23" s="74"/>
      <c r="I23" s="75" t="s">
        <v>75</v>
      </c>
      <c r="J23" s="45">
        <f>+IFERROR(HLOOKUP($B23,'[1]10월누계'!$D$6:$BN$259,2,),)/1000</f>
        <v>81</v>
      </c>
      <c r="K23" s="46">
        <f>+IFERROR(HLOOKUP($B23,'[2]10월누계'!$F$6:$CP$99,2,),)/1000</f>
        <v>54.002000000000002</v>
      </c>
      <c r="L23" s="47">
        <f t="shared" si="0"/>
        <v>-26.997999999999998</v>
      </c>
      <c r="M23" s="48">
        <f>+IFERROR(HLOOKUP($B23,'[3]10월누계'!$F$6:$CC$57,2,),)/1000</f>
        <v>34.505499999999998</v>
      </c>
      <c r="N23" s="49">
        <f t="shared" si="2"/>
        <v>19.496500000000005</v>
      </c>
      <c r="O23" s="45">
        <f>+IFERROR(HLOOKUP($B23,'[1]10월누계'!$D$6:$BN$259,3,),)/1000</f>
        <v>9949.8364999999994</v>
      </c>
      <c r="P23" s="46">
        <f>+IFERROR(HLOOKUP($B23,'[2]10월누계'!$F$6:$CP$99,3,),)/1000</f>
        <v>6660.059881000001</v>
      </c>
      <c r="Q23" s="47">
        <f t="shared" si="3"/>
        <v>-3289.7766189999984</v>
      </c>
      <c r="R23" s="48">
        <f>+IFERROR(HLOOKUP($B23,'[3]10월누계'!$F$6:$CC$57,3,),)/1000</f>
        <v>4295.7206310000001</v>
      </c>
      <c r="S23" s="49">
        <f t="shared" si="4"/>
        <v>2364.3392500000009</v>
      </c>
      <c r="T23" s="45">
        <f>+IFERROR(HLOOKUP($B23,'[1]10월누계'!$D$6:$BN$259,16,),)/1000</f>
        <v>1593.1587088490189</v>
      </c>
      <c r="U23" s="46">
        <f>+IFERROR(HLOOKUP($B23,'[2]10월누계'!$F$6:$CP$99,16,),)/1000</f>
        <v>622.57920200000035</v>
      </c>
      <c r="V23" s="47">
        <f t="shared" si="5"/>
        <v>-970.57950684901857</v>
      </c>
      <c r="W23" s="48">
        <f>+IFERROR(HLOOKUP($B23,'[3]10월누계'!$F$6:$CC$57,16,),)/1000</f>
        <v>330.03548599999993</v>
      </c>
      <c r="X23" s="49">
        <f t="shared" si="6"/>
        <v>292.54371600000042</v>
      </c>
      <c r="Y23" s="45">
        <f>+[12]제주!$Q$85</f>
        <v>122837.48765432098</v>
      </c>
      <c r="Z23" s="46">
        <f>+[12]제주!$R$85</f>
        <v>123136.80411228527</v>
      </c>
      <c r="AA23" s="50">
        <f>+[13]제주!$Q$85</f>
        <v>124493.79464143398</v>
      </c>
      <c r="AB23" s="51">
        <f>+[12]제주!$Q$89</f>
        <v>91087.478911601604</v>
      </c>
      <c r="AC23" s="46">
        <f>+[12]제주!$R$89</f>
        <v>93131.595817817259</v>
      </c>
      <c r="AD23" s="52">
        <f>+[13]제주!$Q$89</f>
        <v>89288.003928705541</v>
      </c>
      <c r="AE23" s="51">
        <f t="shared" si="7"/>
        <v>31750.008742719379</v>
      </c>
      <c r="AF23" s="46">
        <f t="shared" si="7"/>
        <v>30005.208294468015</v>
      </c>
      <c r="AG23" s="52">
        <f t="shared" si="7"/>
        <v>35205.790712728442</v>
      </c>
      <c r="AH23" s="17"/>
      <c r="AI23" s="580">
        <f t="shared" si="8"/>
        <v>0.66669135802469137</v>
      </c>
      <c r="AJ23" s="494"/>
    </row>
    <row r="24" spans="2:44" s="8" customFormat="1" ht="22.5" customHeight="1" x14ac:dyDescent="0.3">
      <c r="F24" s="495">
        <f>+K24/J24</f>
        <v>0.8215493693693694</v>
      </c>
      <c r="G24" s="337" t="str">
        <f t="shared" si="1"/>
        <v>수도권</v>
      </c>
      <c r="H24" s="74"/>
      <c r="I24" s="78" t="s">
        <v>42</v>
      </c>
      <c r="J24" s="22">
        <f>SUM(J7:J10)</f>
        <v>999</v>
      </c>
      <c r="K24" s="19">
        <f>SUM(K7:K10)</f>
        <v>820.72782000000007</v>
      </c>
      <c r="L24" s="20">
        <f t="shared" si="0"/>
        <v>-178.27217999999993</v>
      </c>
      <c r="M24" s="24">
        <f>SUM(M7:M10)</f>
        <v>999.1674999999999</v>
      </c>
      <c r="N24" s="21">
        <f t="shared" si="2"/>
        <v>-178.43967999999984</v>
      </c>
      <c r="O24" s="22">
        <f>SUM(O7:O10)</f>
        <v>97965.591066108449</v>
      </c>
      <c r="P24" s="19">
        <f>SUM(P7:P10)</f>
        <v>78671.314637000003</v>
      </c>
      <c r="Q24" s="20">
        <f t="shared" si="3"/>
        <v>-19294.276429108446</v>
      </c>
      <c r="R24" s="24">
        <f>SUM(R7:R10)</f>
        <v>98402.640736999994</v>
      </c>
      <c r="S24" s="21">
        <f t="shared" si="4"/>
        <v>-19731.326099999991</v>
      </c>
      <c r="T24" s="22">
        <f>SUM(T7:T10)</f>
        <v>6883.6356438872044</v>
      </c>
      <c r="U24" s="19">
        <f>SUM(U7:U10)</f>
        <v>1870.9565750200011</v>
      </c>
      <c r="V24" s="20">
        <f t="shared" si="5"/>
        <v>-5012.6790688672036</v>
      </c>
      <c r="W24" s="24">
        <f>SUM(W7:W10)</f>
        <v>7787.2807830099991</v>
      </c>
      <c r="X24" s="21">
        <f t="shared" si="6"/>
        <v>-5916.3242079899983</v>
      </c>
      <c r="Y24" s="22">
        <f>+[12]수도권!$Q$85</f>
        <v>98063.654720829261</v>
      </c>
      <c r="Z24" s="19">
        <f>+[12]수도권!$R$85</f>
        <v>95890.166401644354</v>
      </c>
      <c r="AA24" s="23">
        <f>+[13]수도권!$Q$85</f>
        <v>98493.09848149601</v>
      </c>
      <c r="AB24" s="28">
        <f>+[12]수도권!$Q$89</f>
        <v>80925.735810208047</v>
      </c>
      <c r="AC24" s="19">
        <f>+[12]수도권!$R$89</f>
        <v>80986.515213079751</v>
      </c>
      <c r="AD24" s="29">
        <f>+[13]수도권!$Q$89</f>
        <v>80768.41748770143</v>
      </c>
      <c r="AE24" s="28">
        <f t="shared" si="7"/>
        <v>17137.918910621214</v>
      </c>
      <c r="AF24" s="19">
        <f t="shared" si="7"/>
        <v>14903.651188564603</v>
      </c>
      <c r="AG24" s="29">
        <f t="shared" si="7"/>
        <v>17724.68099379458</v>
      </c>
      <c r="AH24" s="17"/>
      <c r="AI24" s="580">
        <f t="shared" si="8"/>
        <v>0.8215493693693694</v>
      </c>
      <c r="AJ24" s="494"/>
      <c r="AK24" s="495">
        <f>+U24/T24</f>
        <v>0.27179773477427516</v>
      </c>
    </row>
    <row r="25" spans="2:44" s="8" customFormat="1" ht="22.5" customHeight="1" x14ac:dyDescent="0.3">
      <c r="F25" s="495">
        <f>+K25/J25</f>
        <v>0.8638156682027649</v>
      </c>
      <c r="G25" s="334" t="str">
        <f t="shared" si="1"/>
        <v>영남권</v>
      </c>
      <c r="H25" s="74"/>
      <c r="I25" s="78" t="s">
        <v>43</v>
      </c>
      <c r="J25" s="22">
        <f>SUM(J11:J18)</f>
        <v>1193.5</v>
      </c>
      <c r="K25" s="19">
        <f>SUM(K11:K18)</f>
        <v>1030.9639999999999</v>
      </c>
      <c r="L25" s="20">
        <f t="shared" si="0"/>
        <v>-162.53600000000006</v>
      </c>
      <c r="M25" s="24">
        <f>SUM(M11:M18)</f>
        <v>1297.8825000000002</v>
      </c>
      <c r="N25" s="21">
        <f t="shared" si="2"/>
        <v>-266.91850000000022</v>
      </c>
      <c r="O25" s="22">
        <f>SUM(O11:O18)</f>
        <v>119989.43308128431</v>
      </c>
      <c r="P25" s="19">
        <f>SUM(P11:P18)</f>
        <v>101767.94438100001</v>
      </c>
      <c r="Q25" s="20">
        <f t="shared" si="3"/>
        <v>-18221.488700284302</v>
      </c>
      <c r="R25" s="24">
        <f>SUM(R11:R18)</f>
        <v>130561.27278300001</v>
      </c>
      <c r="S25" s="21">
        <f t="shared" si="4"/>
        <v>-28793.328401999999</v>
      </c>
      <c r="T25" s="22">
        <f>SUM(T11:T18)</f>
        <v>10370.961077123589</v>
      </c>
      <c r="U25" s="19">
        <f>SUM(U11:U18)</f>
        <v>5507.9014520000055</v>
      </c>
      <c r="V25" s="20">
        <f t="shared" si="5"/>
        <v>-4863.0596251235838</v>
      </c>
      <c r="W25" s="24">
        <f>SUM(W11:W18)</f>
        <v>13784.402498000005</v>
      </c>
      <c r="X25" s="21">
        <f t="shared" si="6"/>
        <v>-8276.5010459999994</v>
      </c>
      <c r="Y25" s="22">
        <f>+[12]영남권!$Q$85</f>
        <v>100535.76295038484</v>
      </c>
      <c r="Z25" s="19">
        <f>+[12]영남권!$R$85</f>
        <v>98733.481511272781</v>
      </c>
      <c r="AA25" s="23">
        <f>+[13]영남권!$Q$85</f>
        <v>100612.36251198559</v>
      </c>
      <c r="AB25" s="28">
        <f>+[12]영남권!$Q$89</f>
        <v>78958.931917698661</v>
      </c>
      <c r="AC25" s="19">
        <f>+[12]영남권!$R$89</f>
        <v>79208.184373357857</v>
      </c>
      <c r="AD25" s="29">
        <f>+[13]영남권!$Q$89</f>
        <v>78551.337188436839</v>
      </c>
      <c r="AE25" s="28">
        <f t="shared" si="7"/>
        <v>21576.831032686183</v>
      </c>
      <c r="AF25" s="19">
        <f t="shared" si="7"/>
        <v>19525.297137914924</v>
      </c>
      <c r="AG25" s="29">
        <f t="shared" si="7"/>
        <v>22061.025323548747</v>
      </c>
      <c r="AH25" s="17"/>
      <c r="AI25" s="580">
        <f t="shared" si="8"/>
        <v>0.8638156682027649</v>
      </c>
      <c r="AJ25" s="494"/>
      <c r="AK25" s="495">
        <f>+U25/T25</f>
        <v>0.53108881723116397</v>
      </c>
    </row>
    <row r="26" spans="2:44" s="8" customFormat="1" ht="22.5" customHeight="1" x14ac:dyDescent="0.3">
      <c r="F26" s="495">
        <f>+K26/J26</f>
        <v>0.89464559386973175</v>
      </c>
      <c r="G26" s="334" t="str">
        <f t="shared" si="1"/>
        <v>중부권</v>
      </c>
      <c r="H26" s="74"/>
      <c r="I26" s="78" t="s">
        <v>106</v>
      </c>
      <c r="J26" s="22">
        <f>SUM(J19:J23)</f>
        <v>522</v>
      </c>
      <c r="K26" s="19">
        <f>SUM(K19:K23)</f>
        <v>467.005</v>
      </c>
      <c r="L26" s="20">
        <f t="shared" si="0"/>
        <v>-54.995000000000005</v>
      </c>
      <c r="M26" s="24">
        <f>SUM(M19:M23)</f>
        <v>528.22050000000002</v>
      </c>
      <c r="N26" s="21">
        <f t="shared" si="2"/>
        <v>-61.21550000000002</v>
      </c>
      <c r="O26" s="22">
        <f>SUM(O19:O23)</f>
        <v>55862.922309599999</v>
      </c>
      <c r="P26" s="19">
        <f>SUM(P19:P23)</f>
        <v>47563.154665000002</v>
      </c>
      <c r="Q26" s="20">
        <f t="shared" si="3"/>
        <v>-8299.7676445999969</v>
      </c>
      <c r="R26" s="24">
        <f>SUM(R19:R23)</f>
        <v>55358.947193000015</v>
      </c>
      <c r="S26" s="21">
        <f t="shared" si="4"/>
        <v>-7795.7925280000127</v>
      </c>
      <c r="T26" s="22">
        <f>SUM(T19:T23)</f>
        <v>8275.7801462088464</v>
      </c>
      <c r="U26" s="19">
        <f>SUM(U19:U23)</f>
        <v>3813.4747140000009</v>
      </c>
      <c r="V26" s="20">
        <f t="shared" si="5"/>
        <v>-4462.3054322088456</v>
      </c>
      <c r="W26" s="24">
        <f>SUM(W19:W23)</f>
        <v>8701.4534550000062</v>
      </c>
      <c r="X26" s="21">
        <f t="shared" si="6"/>
        <v>-4887.9787410000054</v>
      </c>
      <c r="Y26" s="22">
        <f>+[12]중부권!$Q$85</f>
        <v>107017.09254712643</v>
      </c>
      <c r="Z26" s="19">
        <f>+[12]중부권!$R$85</f>
        <v>101741.24873490626</v>
      </c>
      <c r="AA26" s="23">
        <f>+[13]중부권!$Q$85</f>
        <v>104789.04081212259</v>
      </c>
      <c r="AB26" s="28">
        <f>+[12]중부권!$Q$89</f>
        <v>78078.160625251418</v>
      </c>
      <c r="AC26" s="19">
        <f>+[12]중부권!$R$89</f>
        <v>79295.4920339167</v>
      </c>
      <c r="AD26" s="29">
        <f>+[13]중부권!$Q$89</f>
        <v>75774.714353729374</v>
      </c>
      <c r="AE26" s="28">
        <f t="shared" si="7"/>
        <v>28938.931921875017</v>
      </c>
      <c r="AF26" s="19">
        <f t="shared" si="7"/>
        <v>22445.756700989557</v>
      </c>
      <c r="AG26" s="29">
        <f t="shared" si="7"/>
        <v>29014.326458393218</v>
      </c>
      <c r="AH26" s="17"/>
      <c r="AI26" s="580">
        <f t="shared" si="8"/>
        <v>0.89464559386973175</v>
      </c>
      <c r="AJ26" s="494"/>
      <c r="AK26" s="495">
        <f>+U26/T26</f>
        <v>0.46079942272837715</v>
      </c>
    </row>
    <row r="27" spans="2:44" s="3" customFormat="1" ht="22.5" customHeight="1" x14ac:dyDescent="0.3">
      <c r="B27" s="25"/>
      <c r="F27" s="483">
        <f>+K27/M27</f>
        <v>0.8206990516483289</v>
      </c>
      <c r="G27" s="336">
        <f>+K27/J27</f>
        <v>0.85418928716153997</v>
      </c>
      <c r="H27" s="267" t="s">
        <v>94</v>
      </c>
      <c r="I27" s="268"/>
      <c r="J27" s="269">
        <f>SUM(J24:J26)</f>
        <v>2714.5</v>
      </c>
      <c r="K27" s="270">
        <f>SUM(K24:K26)</f>
        <v>2318.6968200000001</v>
      </c>
      <c r="L27" s="271">
        <f t="shared" si="0"/>
        <v>-395.80317999999988</v>
      </c>
      <c r="M27" s="272">
        <f>SUM(M24:M26)</f>
        <v>2825.2705000000001</v>
      </c>
      <c r="N27" s="273">
        <f t="shared" si="2"/>
        <v>-506.57367999999997</v>
      </c>
      <c r="O27" s="269">
        <f>SUM(O24:O26)</f>
        <v>273817.94645699277</v>
      </c>
      <c r="P27" s="270">
        <f>SUM(P24:P26)</f>
        <v>228002.41368300002</v>
      </c>
      <c r="Q27" s="271">
        <f t="shared" si="3"/>
        <v>-45815.532773992745</v>
      </c>
      <c r="R27" s="272">
        <f>SUM(R24:R26)</f>
        <v>284322.860713</v>
      </c>
      <c r="S27" s="273">
        <f t="shared" si="4"/>
        <v>-56320.447029999981</v>
      </c>
      <c r="T27" s="269">
        <f>SUM(T24:T26)</f>
        <v>25530.376867219638</v>
      </c>
      <c r="U27" s="270">
        <f>SUM(U24:U26)</f>
        <v>11192.332741020007</v>
      </c>
      <c r="V27" s="271">
        <f t="shared" si="5"/>
        <v>-14338.044126199631</v>
      </c>
      <c r="W27" s="272">
        <f>SUM(W24:W26)</f>
        <v>30273.136736010008</v>
      </c>
      <c r="X27" s="273">
        <f t="shared" si="6"/>
        <v>-19080.803994990001</v>
      </c>
      <c r="Y27" s="269">
        <f>+[12]합계!$Q$85</f>
        <v>100872.33245790855</v>
      </c>
      <c r="Z27" s="270">
        <f>+[12]합계!$R$85</f>
        <v>98336.18475181039</v>
      </c>
      <c r="AA27" s="274">
        <f>+[13]합계!$Q$85</f>
        <v>100644.43346398899</v>
      </c>
      <c r="AB27" s="275">
        <f>+[12]합계!$Q$89</f>
        <v>79513.389266735103</v>
      </c>
      <c r="AC27" s="270">
        <f>+[12]합계!$R$89</f>
        <v>79851.168286096101</v>
      </c>
      <c r="AD27" s="276">
        <f>+[13]합계!$Q$89</f>
        <v>78814.918034747985</v>
      </c>
      <c r="AE27" s="275">
        <f t="shared" si="7"/>
        <v>21358.943191173443</v>
      </c>
      <c r="AF27" s="270">
        <f t="shared" si="7"/>
        <v>18485.016465714289</v>
      </c>
      <c r="AG27" s="276">
        <f t="shared" si="7"/>
        <v>21829.515429241001</v>
      </c>
      <c r="AH27" s="26"/>
      <c r="AI27" s="580">
        <f t="shared" si="8"/>
        <v>0.85418928716153997</v>
      </c>
      <c r="AJ27" s="494"/>
      <c r="AK27" s="483">
        <f>+U27/T27</f>
        <v>0.43839277419326628</v>
      </c>
      <c r="AL27" s="25"/>
    </row>
    <row r="28" spans="2:44" s="8" customFormat="1" ht="22.5" customHeight="1" x14ac:dyDescent="0.3">
      <c r="B28" s="8" t="s">
        <v>115</v>
      </c>
      <c r="C28" s="73" t="s">
        <v>46</v>
      </c>
      <c r="F28" s="495"/>
      <c r="G28" s="335" t="str">
        <f>+I28</f>
        <v>부산모래장</v>
      </c>
      <c r="H28" s="80" t="s">
        <v>1</v>
      </c>
      <c r="I28" s="73" t="s">
        <v>115</v>
      </c>
      <c r="J28" s="55">
        <f>+IFERROR(HLOOKUP($B28,'[1]10월누계'!$D$6:$BN$259,2,),)/1000</f>
        <v>208.70218629172962</v>
      </c>
      <c r="K28" s="56">
        <f>+IFERROR(HLOOKUP($C28,'[2]10월누계'!$F$6:$CP$99,2,),)/1000</f>
        <v>238.39</v>
      </c>
      <c r="L28" s="37">
        <f t="shared" si="0"/>
        <v>29.687813708270369</v>
      </c>
      <c r="M28" s="37">
        <f>+IFERROR(HLOOKUP($C28,'[3]10월누계'!$F$6:$CC$57,2,),)/1000</f>
        <v>189.82599999999999</v>
      </c>
      <c r="N28" s="57">
        <f t="shared" si="2"/>
        <v>48.563999999999993</v>
      </c>
      <c r="O28" s="55">
        <f>+IFERROR(HLOOKUP($B28,'[1]10월누계'!$D$6:$BN$259,3,),)/1000</f>
        <v>6067.0518876070673</v>
      </c>
      <c r="P28" s="56">
        <f>+IFERROR(HLOOKUP($C28,'[2]10월누계'!$F$6:$CP$99,3,),)/1000</f>
        <v>6779.6384000000007</v>
      </c>
      <c r="Q28" s="37">
        <f t="shared" si="3"/>
        <v>712.5865123929334</v>
      </c>
      <c r="R28" s="37">
        <f>+IFERROR(HLOOKUP($C28,'[3]10월누계'!$F$6:$CC$57,3,),)/1000</f>
        <v>5582.8735800000004</v>
      </c>
      <c r="S28" s="57">
        <f t="shared" si="4"/>
        <v>1196.7648200000003</v>
      </c>
      <c r="T28" s="55">
        <f>+IFERROR(HLOOKUP($B28,'[1]10월누계'!$D$6:$BN$259,21,),)/1000</f>
        <v>693.50509930415046</v>
      </c>
      <c r="U28" s="56">
        <f>+IFERROR(HLOOKUP($C28,'[2]10월누계'!$F$6:$CP$99,21,),)/1000</f>
        <v>94.367105809806986</v>
      </c>
      <c r="V28" s="37">
        <f t="shared" si="5"/>
        <v>-599.1379934943435</v>
      </c>
      <c r="W28" s="37">
        <f>+IFERROR(HLOOKUP($C28,'[3]10월누계'!$F$6:$CC$57,21,),)/1000</f>
        <v>359.15471935601602</v>
      </c>
      <c r="X28" s="57">
        <f t="shared" si="6"/>
        <v>-264.78761354620906</v>
      </c>
      <c r="Y28" s="287" t="s">
        <v>109</v>
      </c>
      <c r="Z28" s="498"/>
      <c r="AA28" s="498"/>
      <c r="AB28" s="499"/>
      <c r="AC28" s="498"/>
      <c r="AD28" s="498"/>
      <c r="AE28" s="498"/>
      <c r="AF28" s="498"/>
      <c r="AG28" s="42"/>
      <c r="AH28" s="17"/>
      <c r="AI28" s="18"/>
    </row>
    <row r="29" spans="2:44" s="8" customFormat="1" ht="22.5" customHeight="1" x14ac:dyDescent="0.3">
      <c r="B29" s="8" t="s">
        <v>116</v>
      </c>
      <c r="C29" s="75" t="s">
        <v>47</v>
      </c>
      <c r="G29" s="335" t="str">
        <f>+I29</f>
        <v>서부산CR</v>
      </c>
      <c r="H29" s="79"/>
      <c r="I29" s="75" t="s">
        <v>124</v>
      </c>
      <c r="J29" s="53">
        <f>+IFERROR(HLOOKUP($B29,'[1]10월누계'!$D$6:$BN$259,2,),)/1000</f>
        <v>482.08973749247315</v>
      </c>
      <c r="K29" s="58">
        <f>+IFERROR(HLOOKUP($C29,'[2]10월누계'!$F$6:$CP$99,2,),)/1000</f>
        <v>236.322</v>
      </c>
      <c r="L29" s="47">
        <f t="shared" si="0"/>
        <v>-245.76773749247315</v>
      </c>
      <c r="M29" s="47">
        <f>+IFERROR(HLOOKUP($C29,'[3]10월누계'!$F$6:$CC$57,2,),)/1000</f>
        <v>169.89</v>
      </c>
      <c r="N29" s="59">
        <f t="shared" si="2"/>
        <v>66.432000000000016</v>
      </c>
      <c r="O29" s="53">
        <f>+IFERROR(HLOOKUP($B29,'[1]10월누계'!$D$6:$BN$259,3,),)/1000</f>
        <v>7040.3050687462364</v>
      </c>
      <c r="P29" s="58">
        <f>+IFERROR(HLOOKUP($C29,'[2]10월누계'!$F$6:$CP$99,3,),)/1000</f>
        <v>3191.6460000000002</v>
      </c>
      <c r="Q29" s="47">
        <f t="shared" si="3"/>
        <v>-3848.6590687462362</v>
      </c>
      <c r="R29" s="47">
        <f>+IFERROR(HLOOKUP($C29,'[3]10월누계'!$F$6:$CC$57,3,),)/1000</f>
        <v>2387.739</v>
      </c>
      <c r="S29" s="59">
        <f t="shared" si="4"/>
        <v>803.90700000000015</v>
      </c>
      <c r="T29" s="53">
        <f>+IFERROR(HLOOKUP($B29,'[1]10월누계'!$D$6:$BN$259,21,),)/1000</f>
        <v>1144.7971287330511</v>
      </c>
      <c r="U29" s="58">
        <f>+IFERROR(HLOOKUP($C29,'[2]10월누계'!$F$6:$CP$99,21,),)/1000</f>
        <v>342.93617024032562</v>
      </c>
      <c r="V29" s="47">
        <f t="shared" si="5"/>
        <v>-801.86095849272544</v>
      </c>
      <c r="W29" s="47">
        <f>+IFERROR(HLOOKUP($C29,'[3]10월누계'!$F$6:$CC$57,21,),)/1000</f>
        <v>-56.573524403368111</v>
      </c>
      <c r="X29" s="59">
        <f t="shared" si="6"/>
        <v>399.50969464369371</v>
      </c>
      <c r="Y29" s="497" t="s">
        <v>164</v>
      </c>
      <c r="Z29" s="229"/>
      <c r="AA29" s="229"/>
      <c r="AB29" s="229"/>
      <c r="AC29" s="229"/>
      <c r="AD29" s="229"/>
      <c r="AE29" s="229"/>
      <c r="AF29" s="229"/>
      <c r="AG29" s="50"/>
      <c r="AH29" s="17"/>
      <c r="AI29" s="18"/>
      <c r="AJ29" s="333"/>
      <c r="AK29" s="86"/>
      <c r="AL29" s="86"/>
    </row>
    <row r="30" spans="2:44" s="8" customFormat="1" ht="22.5" customHeight="1" x14ac:dyDescent="0.3">
      <c r="B30" s="8" t="s">
        <v>111</v>
      </c>
      <c r="C30" s="77" t="s">
        <v>111</v>
      </c>
      <c r="G30" s="335" t="str">
        <f>+I30</f>
        <v>부산CR</v>
      </c>
      <c r="H30" s="79"/>
      <c r="I30" s="77" t="s">
        <v>125</v>
      </c>
      <c r="J30" s="53">
        <f>+IFERROR(HLOOKUP($B30,'[1]10월누계'!$D$6:$BN$259,2,),)/1000</f>
        <v>280.67184043333333</v>
      </c>
      <c r="K30" s="58">
        <f>+IFERROR(HLOOKUP($C30,'[2]10월누계'!$F$6:$CP$99,2,),)/1000</f>
        <v>175.32</v>
      </c>
      <c r="L30" s="47">
        <f t="shared" si="0"/>
        <v>-105.35184043333334</v>
      </c>
      <c r="M30" s="47">
        <f>+IFERROR(HLOOKUP($C30,'[3]10월누계'!$F$6:$CC$57,2,),)/1000</f>
        <v>354.589</v>
      </c>
      <c r="N30" s="59">
        <f t="shared" si="2"/>
        <v>-179.26900000000001</v>
      </c>
      <c r="O30" s="53">
        <f>+IFERROR(HLOOKUP($B30,'[1]10월누계'!$D$6:$BN$259,3,),)/1000</f>
        <v>4785.8577001166659</v>
      </c>
      <c r="P30" s="58">
        <f>+IFERROR(HLOOKUP($C30,'[2]10월누계'!$F$6:$CP$99,3,),)/1000</f>
        <v>3366.9103999999998</v>
      </c>
      <c r="Q30" s="47">
        <f t="shared" si="3"/>
        <v>-1418.9473001166662</v>
      </c>
      <c r="R30" s="47">
        <f>+IFERROR(HLOOKUP($C30,'[3]10월누계'!$F$6:$CC$57,3,),)/1000</f>
        <v>6404.9915000000001</v>
      </c>
      <c r="S30" s="59">
        <f t="shared" si="4"/>
        <v>-3038.0811000000003</v>
      </c>
      <c r="T30" s="53">
        <f>+IFERROR(HLOOKUP($B30,'[1]10월누계'!$D$6:$BN$259,21,),)/1000</f>
        <v>-114.12650126621483</v>
      </c>
      <c r="U30" s="58">
        <f>+IFERROR(HLOOKUP($C30,'[2]10월누계'!$F$6:$CP$99,21,),)/1000</f>
        <v>-1263.8363206599995</v>
      </c>
      <c r="V30" s="47">
        <f t="shared" si="5"/>
        <v>-1149.7098193937848</v>
      </c>
      <c r="W30" s="47">
        <f>+IFERROR(HLOOKUP($C30,'[3]10월누계'!$F$6:$CC$57,21,),)/1000</f>
        <v>-306.57644768999864</v>
      </c>
      <c r="X30" s="59">
        <f t="shared" si="6"/>
        <v>-957.25987297000086</v>
      </c>
      <c r="Y30" s="266" t="s">
        <v>198</v>
      </c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333"/>
      <c r="AK30" s="86"/>
      <c r="AL30" s="86"/>
    </row>
    <row r="31" spans="2:44" s="3" customFormat="1" ht="22.5" customHeight="1" x14ac:dyDescent="0.3">
      <c r="G31" s="338"/>
      <c r="H31" s="134" t="s">
        <v>33</v>
      </c>
      <c r="I31" s="135"/>
      <c r="J31" s="136">
        <f>SUM(J28:J30)</f>
        <v>971.46376421753598</v>
      </c>
      <c r="K31" s="140">
        <f>SUM(K28:K30)</f>
        <v>650.03199999999993</v>
      </c>
      <c r="L31" s="138">
        <f t="shared" si="0"/>
        <v>-321.43176421753606</v>
      </c>
      <c r="M31" s="138">
        <f>SUM(M28:M30)</f>
        <v>714.30500000000006</v>
      </c>
      <c r="N31" s="139">
        <f t="shared" si="2"/>
        <v>-64.273000000000138</v>
      </c>
      <c r="O31" s="136">
        <f>SUM(O28:O30)</f>
        <v>17893.214656469969</v>
      </c>
      <c r="P31" s="140">
        <f>SUM(P28:P30)</f>
        <v>13338.194800000001</v>
      </c>
      <c r="Q31" s="138">
        <f t="shared" si="3"/>
        <v>-4555.0198564699676</v>
      </c>
      <c r="R31" s="138">
        <f>SUM(R28:R30)</f>
        <v>14375.604080000001</v>
      </c>
      <c r="S31" s="139">
        <f t="shared" si="4"/>
        <v>-1037.4092799999999</v>
      </c>
      <c r="T31" s="136">
        <f>SUM(T28:T30)</f>
        <v>1724.1757267709868</v>
      </c>
      <c r="U31" s="140">
        <f>SUM(U28:U30)</f>
        <v>-826.53304460986692</v>
      </c>
      <c r="V31" s="138">
        <f t="shared" si="5"/>
        <v>-2550.7087713808537</v>
      </c>
      <c r="W31" s="138">
        <f>SUM(W28:W30)</f>
        <v>-3.995252737350711</v>
      </c>
      <c r="X31" s="139">
        <f t="shared" si="6"/>
        <v>-822.53779187251621</v>
      </c>
      <c r="Y31" s="482" t="s">
        <v>225</v>
      </c>
      <c r="Z31" s="229"/>
      <c r="AA31" s="229"/>
      <c r="AB31" s="229"/>
      <c r="AC31" s="229"/>
      <c r="AD31" s="229"/>
      <c r="AE31" s="229"/>
      <c r="AF31" s="229"/>
      <c r="AG31" s="50"/>
      <c r="AH31" s="26"/>
      <c r="AI31" s="18"/>
      <c r="AJ31" s="333"/>
    </row>
    <row r="32" spans="2:44" s="8" customFormat="1" ht="22.5" customHeight="1" x14ac:dyDescent="0.3">
      <c r="B32" s="8" t="s">
        <v>119</v>
      </c>
      <c r="C32" s="8" t="s">
        <v>118</v>
      </c>
      <c r="D32" t="s">
        <v>117</v>
      </c>
      <c r="E32" t="s">
        <v>81</v>
      </c>
      <c r="F32"/>
      <c r="G32" s="334" t="str">
        <f>+I32</f>
        <v>레미콘임대</v>
      </c>
      <c r="H32" s="83" t="s">
        <v>4</v>
      </c>
      <c r="I32" s="82" t="s">
        <v>80</v>
      </c>
      <c r="J32" s="45"/>
      <c r="K32" s="46"/>
      <c r="L32" s="48">
        <f>+K32-J32</f>
        <v>0</v>
      </c>
      <c r="M32" s="47"/>
      <c r="N32" s="59">
        <f>+K32-M32</f>
        <v>0</v>
      </c>
      <c r="O32" s="45">
        <f>(IFERROR(HLOOKUP($B32,'[1]10월누계'!$D$6:$BN$259,3,),)++IFERROR(HLOOKUP($C32,'[1]10월누계'!$D$6:$BN$259,3,),)+IFERROR(HLOOKUP($D32,'[1]10월누계'!$D$6:$BN$259,3,),))/1000</f>
        <v>739.18666666666661</v>
      </c>
      <c r="P32" s="46">
        <f>+IFERROR(HLOOKUP($E32,'[2]10월누계'!$F$6:$CP$99,3,),)/1000</f>
        <v>550.9</v>
      </c>
      <c r="Q32" s="48">
        <f t="shared" si="3"/>
        <v>-188.28666666666663</v>
      </c>
      <c r="R32" s="47">
        <f>+IFERROR(HLOOKUP($E32,'[3]10월누계'!$F$6:$CC$57,3,),)/1000</f>
        <v>908.4</v>
      </c>
      <c r="S32" s="59">
        <f t="shared" si="4"/>
        <v>-357.5</v>
      </c>
      <c r="T32" s="45">
        <f>(IFERROR(HLOOKUP($B32,'[1]10월누계'!$D$6:$BN$259,21,),)++IFERROR(HLOOKUP($C32,'[1]10월누계'!$D$6:$BN$259,21,),)+IFERROR(HLOOKUP($D32,'[1]10월누계'!$D$6:$BN$259,21,),))/1000</f>
        <v>511.84963466666676</v>
      </c>
      <c r="U32" s="46">
        <f>+IFERROR(HLOOKUP($E32,'[2]10월누계'!$F$6:$CP$99,16,),)/1000</f>
        <v>301.71574299999997</v>
      </c>
      <c r="V32" s="48">
        <f t="shared" si="5"/>
        <v>-210.13389166666678</v>
      </c>
      <c r="W32" s="47">
        <f>+IFERROR(HLOOKUP($E32,'[3]10월누계'!$F$6:$CC$57,16,),)/1000</f>
        <v>627.95594499999993</v>
      </c>
      <c r="X32" s="59">
        <f t="shared" si="6"/>
        <v>-326.24020199999995</v>
      </c>
      <c r="Y32" s="482"/>
      <c r="Z32" s="229"/>
      <c r="AA32" s="229"/>
      <c r="AB32" s="229"/>
      <c r="AC32" s="229"/>
      <c r="AD32" s="229"/>
      <c r="AE32" s="229"/>
      <c r="AF32" s="229"/>
      <c r="AG32" s="50"/>
      <c r="AH32" s="17"/>
      <c r="AI32" s="18"/>
      <c r="AJ32" s="333"/>
      <c r="AK32" s="229"/>
      <c r="AL32" s="229"/>
      <c r="AM32" s="229"/>
      <c r="AN32" s="229"/>
      <c r="AO32" s="229"/>
      <c r="AP32" s="229"/>
      <c r="AQ32" s="229"/>
      <c r="AR32" s="50"/>
    </row>
    <row r="33" spans="2:44" s="8" customFormat="1" ht="22.5" customHeight="1" x14ac:dyDescent="0.3">
      <c r="B33" s="8" t="s">
        <v>120</v>
      </c>
      <c r="C33" s="8" t="s">
        <v>121</v>
      </c>
      <c r="D33"/>
      <c r="E33" t="s">
        <v>31</v>
      </c>
      <c r="F33"/>
      <c r="G33" s="334" t="str">
        <f t="shared" ref="G33:G38" si="9">+I33</f>
        <v>임대</v>
      </c>
      <c r="H33" s="83"/>
      <c r="I33" s="82" t="s">
        <v>44</v>
      </c>
      <c r="J33" s="45"/>
      <c r="K33" s="46"/>
      <c r="L33" s="48">
        <f>+K33-J33</f>
        <v>0</v>
      </c>
      <c r="M33" s="47">
        <v>0</v>
      </c>
      <c r="N33" s="59">
        <f t="shared" ref="N33:N40" si="10">+K33-M33</f>
        <v>0</v>
      </c>
      <c r="O33" s="45">
        <f>(+IFERROR(HLOOKUP($B33,'[1]10월누계'!$D$6:$BN$259,3,),)+IFERROR(HLOOKUP($C33,'[1]10월누계'!$D$6:$BN$259,3,),))/1000</f>
        <v>742.61500000000001</v>
      </c>
      <c r="P33" s="46">
        <f>+IFERROR(HLOOKUP($E33,'[2]10월누계'!$F$6:$CP$99,3,),)/1000</f>
        <v>737.42996900000003</v>
      </c>
      <c r="Q33" s="48">
        <f>+P33-O33</f>
        <v>-5.1850309999999808</v>
      </c>
      <c r="R33" s="47">
        <f>+IFERROR(HLOOKUP($E33,'[3]10월누계'!$F$6:$CC$57,3,),)/1000</f>
        <v>730.48656200000005</v>
      </c>
      <c r="S33" s="59">
        <f t="shared" si="4"/>
        <v>6.9434069999999792</v>
      </c>
      <c r="T33" s="45">
        <f>(+IFERROR(HLOOKUP($B33,'[1]10월누계'!$D$6:$BN$259,21,),)+IFERROR(HLOOKUP($C33,'[1]10월누계'!$D$6:$BN$259,21,),))/1000</f>
        <v>679.0268319999999</v>
      </c>
      <c r="U33" s="46">
        <f>+IFERROR(HLOOKUP($E33,'[2]10월누계'!$F$6:$CP$99,16,),)/1000</f>
        <v>676.5258500000001</v>
      </c>
      <c r="V33" s="48">
        <f t="shared" si="5"/>
        <v>-2.5009819999997944</v>
      </c>
      <c r="W33" s="47">
        <f>+IFERROR(HLOOKUP($E33,'[3]10월누계'!$F$6:$CC$57,16,),)/1000</f>
        <v>667.10723100000007</v>
      </c>
      <c r="X33" s="59">
        <f t="shared" si="6"/>
        <v>9.4186190000000352</v>
      </c>
      <c r="Y33" s="479" t="s">
        <v>201</v>
      </c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  <c r="AJ33" s="333"/>
      <c r="AK33" s="229"/>
      <c r="AL33" s="229"/>
      <c r="AM33" s="229"/>
      <c r="AN33" s="229"/>
      <c r="AO33" s="229"/>
      <c r="AP33" s="229"/>
      <c r="AQ33" s="229"/>
      <c r="AR33" s="50"/>
    </row>
    <row r="34" spans="2:44" s="8" customFormat="1" ht="22.5" customHeight="1" x14ac:dyDescent="0.3">
      <c r="B34" s="8" t="s">
        <v>122</v>
      </c>
      <c r="D34"/>
      <c r="E34"/>
      <c r="F34"/>
      <c r="G34" s="334" t="str">
        <f t="shared" si="9"/>
        <v>공통비</v>
      </c>
      <c r="H34" s="81"/>
      <c r="I34" s="82" t="s">
        <v>29</v>
      </c>
      <c r="J34" s="45"/>
      <c r="K34" s="46"/>
      <c r="L34" s="48">
        <f>+K34-J34</f>
        <v>0</v>
      </c>
      <c r="M34" s="47"/>
      <c r="N34" s="59">
        <f t="shared" si="10"/>
        <v>0</v>
      </c>
      <c r="O34" s="45"/>
      <c r="P34" s="46"/>
      <c r="Q34" s="48">
        <f>+P34-O34</f>
        <v>0</v>
      </c>
      <c r="R34" s="47"/>
      <c r="S34" s="59">
        <f t="shared" si="4"/>
        <v>0</v>
      </c>
      <c r="T34" s="45">
        <f>-'[1]10월누계'!$Z$22/1000</f>
        <v>-15306.536384392661</v>
      </c>
      <c r="U34" s="46">
        <f>+-'[2]10월누계'!$Z$22/1000</f>
        <v>-15546.721150443844</v>
      </c>
      <c r="V34" s="48">
        <f t="shared" si="5"/>
        <v>-240.18476605118303</v>
      </c>
      <c r="W34" s="47">
        <f>+-'[3]10월누계'!$Z$22/1000</f>
        <v>-14088.417163258408</v>
      </c>
      <c r="X34" s="59">
        <f t="shared" si="6"/>
        <v>-1458.3039871854362</v>
      </c>
      <c r="Y34" s="266" t="s">
        <v>165</v>
      </c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  <c r="AJ34" s="333"/>
      <c r="AK34" s="234"/>
      <c r="AL34" s="86"/>
    </row>
    <row r="35" spans="2:44" s="8" customFormat="1" ht="22.5" customHeight="1" x14ac:dyDescent="0.3">
      <c r="D35"/>
      <c r="E35"/>
      <c r="F35"/>
      <c r="G35" s="334" t="str">
        <f t="shared" si="9"/>
        <v>OPC 소급분</v>
      </c>
      <c r="H35" s="81"/>
      <c r="I35" s="82" t="s">
        <v>95</v>
      </c>
      <c r="J35" s="45"/>
      <c r="K35" s="46"/>
      <c r="L35" s="48"/>
      <c r="M35" s="47"/>
      <c r="N35" s="59">
        <f t="shared" si="10"/>
        <v>0</v>
      </c>
      <c r="O35" s="45"/>
      <c r="P35" s="46"/>
      <c r="Q35" s="48">
        <f>+P35-O35</f>
        <v>0</v>
      </c>
      <c r="R35" s="47"/>
      <c r="S35" s="59">
        <f t="shared" si="4"/>
        <v>0</v>
      </c>
      <c r="T35" s="45"/>
      <c r="U35" s="46">
        <f>'[2]10월누계'!$BD$26/1000</f>
        <v>497.23331999999999</v>
      </c>
      <c r="V35" s="48">
        <f t="shared" si="5"/>
        <v>497.23331999999999</v>
      </c>
      <c r="W35" s="47">
        <f>'[3]10월누계'!$BD$26/1000</f>
        <v>750</v>
      </c>
      <c r="X35" s="59">
        <f t="shared" si="6"/>
        <v>-252.76668000000001</v>
      </c>
      <c r="Y35" s="266" t="s">
        <v>199</v>
      </c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J35" s="333"/>
      <c r="AK35" s="86"/>
      <c r="AL35" s="86"/>
    </row>
    <row r="36" spans="2:44" s="8" customFormat="1" ht="22.5" customHeight="1" x14ac:dyDescent="0.3">
      <c r="D36"/>
      <c r="E36"/>
      <c r="F36"/>
      <c r="G36" s="334" t="str">
        <f t="shared" si="9"/>
        <v>대손</v>
      </c>
      <c r="H36" s="81"/>
      <c r="I36" s="82" t="s">
        <v>96</v>
      </c>
      <c r="J36" s="45"/>
      <c r="K36" s="46"/>
      <c r="L36" s="48"/>
      <c r="M36" s="47"/>
      <c r="N36" s="59">
        <f t="shared" si="10"/>
        <v>0</v>
      </c>
      <c r="O36" s="45"/>
      <c r="P36" s="46"/>
      <c r="Q36" s="48">
        <f>+P36-O36</f>
        <v>0</v>
      </c>
      <c r="R36" s="47"/>
      <c r="S36" s="59">
        <f t="shared" si="4"/>
        <v>0</v>
      </c>
      <c r="T36" s="45"/>
      <c r="U36" s="46">
        <f>'[2]10월누계'!$BE$26/1000</f>
        <v>-1243.0000719999998</v>
      </c>
      <c r="V36" s="48">
        <f t="shared" si="5"/>
        <v>-1243.0000719999998</v>
      </c>
      <c r="W36" s="47">
        <f>'[3]10월누계'!$BE$26/1000</f>
        <v>-573.85933299999999</v>
      </c>
      <c r="X36" s="59">
        <f t="shared" si="6"/>
        <v>-669.14073899999983</v>
      </c>
      <c r="Y36" s="266" t="s">
        <v>200</v>
      </c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J36" s="333"/>
      <c r="AK36" s="86"/>
      <c r="AL36" s="86"/>
    </row>
    <row r="37" spans="2:44" s="8" customFormat="1" ht="22.5" customHeight="1" x14ac:dyDescent="0.3">
      <c r="D37"/>
      <c r="E37"/>
      <c r="F37"/>
      <c r="G37" s="334" t="str">
        <f t="shared" si="9"/>
        <v>미운영 공장</v>
      </c>
      <c r="H37" s="81"/>
      <c r="I37" s="82" t="s">
        <v>112</v>
      </c>
      <c r="J37" s="45"/>
      <c r="K37" s="46"/>
      <c r="L37" s="48"/>
      <c r="M37" s="47"/>
      <c r="N37" s="59"/>
      <c r="O37" s="45"/>
      <c r="P37" s="46"/>
      <c r="Q37" s="48">
        <f>+P37-O37</f>
        <v>0</v>
      </c>
      <c r="R37" s="47">
        <f>+IFERROR(HLOOKUP($I$37,'[3]10월누계'!$F$6:$BJ$50,3,),)/1000</f>
        <v>0</v>
      </c>
      <c r="S37" s="59">
        <f t="shared" si="4"/>
        <v>0</v>
      </c>
      <c r="T37" s="45">
        <f>SUM('[1]10월누계'!$AM$26:$AQ$26)/1000</f>
        <v>-285.29133900000005</v>
      </c>
      <c r="U37" s="46">
        <f>+'[2]10월누계'!$BF$26/1000</f>
        <v>-283.50898099999995</v>
      </c>
      <c r="V37" s="48">
        <f t="shared" si="5"/>
        <v>1.7823580000001016</v>
      </c>
      <c r="W37" s="47">
        <f>+'[3]10월누계'!$BF$26/1000</f>
        <v>-372.14426899999995</v>
      </c>
      <c r="X37" s="59">
        <f>+U37-W37</f>
        <v>88.635288000000003</v>
      </c>
      <c r="Y37" s="266"/>
      <c r="Z37" s="491"/>
      <c r="AA37" s="229"/>
      <c r="AB37" s="229"/>
      <c r="AC37" s="229"/>
      <c r="AD37" s="229"/>
      <c r="AE37" s="229"/>
      <c r="AF37" s="229"/>
      <c r="AG37" s="50"/>
      <c r="AH37" s="17"/>
      <c r="AI37" s="18"/>
      <c r="AJ37" s="333"/>
      <c r="AK37" s="86"/>
      <c r="AL37" s="86"/>
    </row>
    <row r="38" spans="2:44" s="8" customFormat="1" ht="22.5" customHeight="1" x14ac:dyDescent="0.3">
      <c r="B38" t="s">
        <v>30</v>
      </c>
      <c r="D38"/>
      <c r="G38" s="334" t="str">
        <f t="shared" si="9"/>
        <v>퇴직위로금</v>
      </c>
      <c r="H38" s="81"/>
      <c r="I38" s="82" t="s">
        <v>162</v>
      </c>
      <c r="J38" s="45"/>
      <c r="K38" s="46"/>
      <c r="L38" s="48"/>
      <c r="M38" s="47"/>
      <c r="N38" s="59"/>
      <c r="O38" s="45"/>
      <c r="P38" s="46"/>
      <c r="Q38" s="48"/>
      <c r="R38" s="47"/>
      <c r="S38" s="59"/>
      <c r="T38" s="45"/>
      <c r="U38" s="46">
        <f>+'[2]10월누계'!$BG$26/1000</f>
        <v>-759.34318890999998</v>
      </c>
      <c r="V38" s="48">
        <f t="shared" si="5"/>
        <v>-759.34318890999998</v>
      </c>
      <c r="W38" s="47"/>
      <c r="X38" s="59">
        <f>+U38-W38</f>
        <v>-759.34318890999998</v>
      </c>
      <c r="Y38" s="479"/>
      <c r="Z38" s="229"/>
      <c r="AA38" s="229"/>
      <c r="AB38" s="229"/>
      <c r="AC38" s="229"/>
      <c r="AD38" s="229"/>
      <c r="AE38" s="229"/>
      <c r="AF38" s="229"/>
      <c r="AG38" s="50"/>
      <c r="AH38" s="17"/>
      <c r="AI38" s="18"/>
      <c r="AJ38" s="333"/>
    </row>
    <row r="39" spans="2:44" s="8" customFormat="1" ht="22.5" customHeight="1" x14ac:dyDescent="0.3">
      <c r="G39" s="334" t="str">
        <f>+I39</f>
        <v>기타</v>
      </c>
      <c r="H39" s="81"/>
      <c r="I39" s="82" t="s">
        <v>4</v>
      </c>
      <c r="J39" s="45"/>
      <c r="K39" s="46"/>
      <c r="L39" s="54">
        <f>+K39-J39</f>
        <v>0</v>
      </c>
      <c r="M39" s="60"/>
      <c r="N39" s="61">
        <f>+K39-M39</f>
        <v>0</v>
      </c>
      <c r="O39" s="45">
        <f>IFERROR(HLOOKUP($B38,'[1]10월누계'!$D$6:$BN$259,3,),)/1000</f>
        <v>17.7</v>
      </c>
      <c r="P39" s="46">
        <f>+('[2]10월누계'!$F$8-SUM('[2]10월누계'!$Z$8,'[2]10월누계'!$AH$8,'[2]10월누계'!$AN$8,'[2]10월누계'!$AO$8,'[2]10월누계'!$BA$8,'[2]10월누계'!$BD$8,'[2]10월누계'!$BE$8,'[2]10월누계'!$BF$8))/1000</f>
        <v>16.834449999988077</v>
      </c>
      <c r="Q39" s="54">
        <f>+P39-O39</f>
        <v>-0.86555000001192184</v>
      </c>
      <c r="R39" s="60">
        <f>+('[3]10월누계'!$F$8-SUM('[3]10월누계'!$Z$8,'[3]10월누계'!$AH$8,'[3]10월누계'!$AN$8,'[3]10월누계'!$AO$8,'[3]10월누계'!$BA$8,'[3]10월누계'!$BD$8,'[3]10월누계'!$BE$8,'[3]10월누계'!$BF$8))/1000</f>
        <v>17.484399999976159</v>
      </c>
      <c r="S39" s="61">
        <f>+P39-R39</f>
        <v>-0.64994999998808112</v>
      </c>
      <c r="T39" s="45">
        <f>+('[1]10월누계'!$E$26-'[1]10월누계'!$Z$26-'[1]10월누계'!$AA$26-'[1]10월누계'!$AE$26-'[1]10월누계'!$AL$26-'[1]10월누계'!$AM$26-'[1]10월누계'!$AN$26-'[1]10월누계'!$AO$26-'[1]10월누계'!$AP$26-'[1]10월누계'!$AQ$26-'[1]10월누계'!$AS$26)/1000+'[1]10월누계'!$AS$26/1000</f>
        <v>-684.84502699998438</v>
      </c>
      <c r="U39" s="46">
        <f>+('[2]10월누계'!$F$26-SUM('[2]10월누계'!$Z$26,'[2]10월누계'!$AH$26,'[2]10월누계'!$AN$26,'[2]10월누계'!$AO$26,'[2]10월누계'!$BA$26,'[2]10월누계'!$BD$26,'[2]10월누계'!$BE$26,'[2]10월누계'!$BF$26))/1000-U38</f>
        <v>-79.664822000014624</v>
      </c>
      <c r="V39" s="48">
        <f>+U39-T39</f>
        <v>605.18020499996976</v>
      </c>
      <c r="W39" s="60">
        <f>+('[3]10월누계'!$F$26-SUM('[3]10월누계'!$Z$26,'[3]10월누계'!$AH$26,'[3]10월누계'!$AN$26,'[3]10월누계'!$AO$26,'[3]10월누계'!$BA$26,'[3]10월누계'!$BD$26,'[3]10월누계'!$BE$26,'[3]10월누계'!$BF$26))/1000</f>
        <v>-216.18682200004534</v>
      </c>
      <c r="X39" s="59">
        <f>+U39-W39</f>
        <v>136.52200000003072</v>
      </c>
      <c r="Y39" s="266"/>
      <c r="Z39" s="229"/>
      <c r="AA39" s="229"/>
      <c r="AB39" s="229"/>
      <c r="AC39" s="229"/>
      <c r="AD39" s="229"/>
      <c r="AE39" s="229"/>
      <c r="AF39" s="229"/>
      <c r="AG39" s="50"/>
      <c r="AH39" s="30"/>
      <c r="AI39" s="18"/>
      <c r="AJ39" s="333"/>
    </row>
    <row r="40" spans="2:44" s="3" customFormat="1" ht="22.5" customHeight="1" x14ac:dyDescent="0.3">
      <c r="D40" s="293"/>
      <c r="G40" s="338"/>
      <c r="H40" s="134" t="s">
        <v>97</v>
      </c>
      <c r="I40" s="135"/>
      <c r="J40" s="284">
        <f>SUM(J32:J39)</f>
        <v>0</v>
      </c>
      <c r="K40" s="285">
        <f>SUM(K32:K39)</f>
        <v>0</v>
      </c>
      <c r="L40" s="285">
        <f>+K40-J40</f>
        <v>0</v>
      </c>
      <c r="M40" s="285">
        <f>SUM(M32:M39)</f>
        <v>0</v>
      </c>
      <c r="N40" s="286">
        <f t="shared" si="10"/>
        <v>0</v>
      </c>
      <c r="O40" s="136">
        <f>SUM(O32:O39)</f>
        <v>1499.5016666666668</v>
      </c>
      <c r="P40" s="137">
        <f>SUM(P32:P39)</f>
        <v>1305.1644189999879</v>
      </c>
      <c r="Q40" s="141">
        <f t="shared" si="3"/>
        <v>-194.33724766667888</v>
      </c>
      <c r="R40" s="142">
        <f>SUM(R32:R39)</f>
        <v>1656.3709619999763</v>
      </c>
      <c r="S40" s="143">
        <f>+P40-R40</f>
        <v>-351.20654299998841</v>
      </c>
      <c r="T40" s="136">
        <f>SUM(T32:T39)</f>
        <v>-15085.796283725978</v>
      </c>
      <c r="U40" s="137">
        <f>SUM(U32:U39)</f>
        <v>-16436.763301353854</v>
      </c>
      <c r="V40" s="141">
        <f>+U40-T40</f>
        <v>-1350.967017627876</v>
      </c>
      <c r="W40" s="142">
        <f>SUM(W32:W39)</f>
        <v>-13205.544411258454</v>
      </c>
      <c r="X40" s="143">
        <f>+U40-W40</f>
        <v>-3231.2188900954006</v>
      </c>
      <c r="Y40" s="230"/>
      <c r="Z40" s="231"/>
      <c r="AA40" s="231"/>
      <c r="AB40" s="231"/>
      <c r="AC40" s="231"/>
      <c r="AD40" s="231"/>
      <c r="AE40" s="231"/>
      <c r="AF40" s="231"/>
      <c r="AG40" s="232"/>
      <c r="AH40" s="25"/>
      <c r="AI40" s="18"/>
      <c r="AJ40" s="333"/>
    </row>
    <row r="41" spans="2:44" s="8" customFormat="1" ht="19.5" customHeight="1" x14ac:dyDescent="0.3">
      <c r="G41" s="334"/>
      <c r="J41" s="32"/>
      <c r="K41" s="32"/>
      <c r="L41" s="31"/>
      <c r="M41" s="31"/>
      <c r="N41" s="31"/>
      <c r="O41" s="32"/>
      <c r="P41" s="32"/>
      <c r="Q41" s="31"/>
      <c r="R41" s="31"/>
      <c r="S41" s="31"/>
      <c r="T41" s="32"/>
      <c r="U41" s="32">
        <v>19</v>
      </c>
      <c r="V41" s="31">
        <v>12.4</v>
      </c>
      <c r="W41" s="31"/>
      <c r="X41" s="31"/>
      <c r="Y41" s="32"/>
      <c r="Z41" s="32"/>
      <c r="AA41" s="32"/>
      <c r="AB41" s="32"/>
      <c r="AC41" s="32"/>
      <c r="AD41" s="32"/>
      <c r="AE41" s="32"/>
      <c r="AF41" s="32"/>
      <c r="AG41" s="32"/>
      <c r="AH41" s="30"/>
      <c r="AI41" s="18"/>
      <c r="AJ41" s="333"/>
    </row>
    <row r="42" spans="2:44" s="3" customFormat="1" ht="22.5" customHeight="1" x14ac:dyDescent="0.3">
      <c r="G42" s="339">
        <f>+P42/O42</f>
        <v>0.82754757484366581</v>
      </c>
      <c r="H42" s="277" t="s">
        <v>32</v>
      </c>
      <c r="I42" s="278"/>
      <c r="J42" s="290"/>
      <c r="K42" s="291"/>
      <c r="L42" s="291"/>
      <c r="M42" s="291"/>
      <c r="N42" s="292"/>
      <c r="O42" s="279">
        <f>+O27+O31+O40</f>
        <v>293210.66278012941</v>
      </c>
      <c r="P42" s="279">
        <f>+P27+P31+P40</f>
        <v>242645.772902</v>
      </c>
      <c r="Q42" s="281">
        <f t="shared" si="3"/>
        <v>-50564.889878129412</v>
      </c>
      <c r="R42" s="279">
        <f>+R27+R31+R40</f>
        <v>300354.83575500001</v>
      </c>
      <c r="S42" s="283">
        <f>+P42-R42</f>
        <v>-57709.06285300001</v>
      </c>
      <c r="T42" s="279">
        <f>+T27+T31+T40</f>
        <v>12168.756310264647</v>
      </c>
      <c r="U42" s="279">
        <f>+U27+U31+U40</f>
        <v>-6070.963604943714</v>
      </c>
      <c r="V42" s="281">
        <f>+U42-T42</f>
        <v>-18239.719915208363</v>
      </c>
      <c r="W42" s="279">
        <f>+W27+W31+W40</f>
        <v>17063.597072014207</v>
      </c>
      <c r="X42" s="283">
        <f>+U42-W42</f>
        <v>-23134.560676957921</v>
      </c>
      <c r="Y42" s="608"/>
      <c r="Z42" s="609"/>
      <c r="AA42" s="609"/>
      <c r="AB42" s="609"/>
      <c r="AC42" s="609"/>
      <c r="AD42" s="609"/>
      <c r="AE42" s="609"/>
      <c r="AF42" s="609"/>
      <c r="AG42" s="610"/>
      <c r="AH42" s="25"/>
    </row>
    <row r="43" spans="2:44" s="33" customFormat="1" x14ac:dyDescent="0.3">
      <c r="G43" s="336">
        <f>+U42/T42</f>
        <v>-0.49889762356591083</v>
      </c>
      <c r="K43" s="295"/>
      <c r="L43" s="295"/>
      <c r="M43" s="295"/>
      <c r="P43" s="295">
        <f>+P42/O42</f>
        <v>0.82754757484366581</v>
      </c>
      <c r="R43" s="295">
        <f>+P42/R42</f>
        <v>0.80786371323792039</v>
      </c>
      <c r="T43" s="295">
        <f>+T42/O42</f>
        <v>4.1501752340397192E-2</v>
      </c>
      <c r="U43" s="295">
        <f>+U42/P42</f>
        <v>-2.5019861390273058E-2</v>
      </c>
      <c r="V43" s="33">
        <f>+V42/100</f>
        <v>-182.39719915208363</v>
      </c>
      <c r="X43" s="33">
        <f>+X42/100</f>
        <v>-231.34560676957921</v>
      </c>
      <c r="AC43" s="34"/>
      <c r="AF43" s="34"/>
    </row>
    <row r="44" spans="2:44" s="33" customFormat="1" ht="17.25" thickBot="1" x14ac:dyDescent="0.35">
      <c r="G44" s="340"/>
      <c r="K44" s="295">
        <f>+K31/J31</f>
        <v>0.66912634721230924</v>
      </c>
      <c r="L44" s="295"/>
      <c r="M44" s="295">
        <f>+K31/M31</f>
        <v>0.91002022945380456</v>
      </c>
      <c r="AC44" s="34"/>
      <c r="AF44" s="34"/>
    </row>
    <row r="45" spans="2:44" s="33" customFormat="1" x14ac:dyDescent="0.3">
      <c r="G45" s="340"/>
      <c r="I45" s="605" t="s">
        <v>82</v>
      </c>
      <c r="J45" s="126">
        <f>+'[1]10월누계'!$Z$7/1000</f>
        <v>2714.5</v>
      </c>
      <c r="K45" s="127">
        <f>+'[2]10월누계'!$AI$7/1000</f>
        <v>2318.6968200000001</v>
      </c>
      <c r="L45" s="127"/>
      <c r="M45" s="127">
        <f>+'[3]10월누계'!$Z$7/1000</f>
        <v>2825.2705000000001</v>
      </c>
      <c r="N45" s="127"/>
      <c r="O45" s="127">
        <f>('[1]10월누계'!$E$8-'[1]10월누계'!$AA$8)/1000</f>
        <v>293210.66278012935</v>
      </c>
      <c r="P45" s="127">
        <f>('[2]10월누계'!$F$8-'[2]10월누계'!$AO$8)/1000</f>
        <v>242645.77290199997</v>
      </c>
      <c r="Q45" s="127"/>
      <c r="R45" s="127">
        <f>('[3]10월누계'!$F$8-'[3]10월누계'!$AO$8)/1000</f>
        <v>300354.83575499989</v>
      </c>
      <c r="S45" s="127"/>
      <c r="T45" s="132">
        <f>('[1]10월누계'!$E$26-'[1]10월누계'!$AA$26)/1000</f>
        <v>12168.756310264616</v>
      </c>
      <c r="U45" s="127">
        <f>('[2]10월누계'!$F$26-'[2]10월누계'!$AO$26)/1000</f>
        <v>-6070.9636049437186</v>
      </c>
      <c r="V45" s="127"/>
      <c r="W45" s="127">
        <f>('[3]10월누계'!$F$26-'[3]10월누계'!$AO$26)/1000</f>
        <v>17063.597072014192</v>
      </c>
      <c r="X45" s="128"/>
      <c r="AC45" s="34"/>
      <c r="AF45" s="34"/>
    </row>
    <row r="46" spans="2:44" s="33" customFormat="1" ht="17.25" thickBot="1" x14ac:dyDescent="0.35">
      <c r="G46" s="340"/>
      <c r="I46" s="605"/>
      <c r="J46" s="131">
        <f>+J45-J27</f>
        <v>0</v>
      </c>
      <c r="K46" s="129">
        <f>+K45-K27</f>
        <v>0</v>
      </c>
      <c r="L46" s="129"/>
      <c r="M46" s="129">
        <f>+M45-M27</f>
        <v>0</v>
      </c>
      <c r="N46" s="129"/>
      <c r="O46" s="133">
        <f>+O45-O42</f>
        <v>0</v>
      </c>
      <c r="P46" s="133">
        <f>+P45-P42</f>
        <v>0</v>
      </c>
      <c r="Q46" s="129"/>
      <c r="R46" s="133">
        <f>+R45-R42</f>
        <v>0</v>
      </c>
      <c r="S46" s="129"/>
      <c r="T46" s="133">
        <f>+T45-T42</f>
        <v>-3.092281986027956E-11</v>
      </c>
      <c r="U46" s="133">
        <f>+U45-U42</f>
        <v>0</v>
      </c>
      <c r="V46" s="129"/>
      <c r="W46" s="129">
        <f>+W45-W42</f>
        <v>0</v>
      </c>
      <c r="X46" s="130"/>
      <c r="AC46" s="34"/>
      <c r="AF46" s="34"/>
      <c r="AG46" s="33" t="s">
        <v>83</v>
      </c>
    </row>
    <row r="48" spans="2:44" x14ac:dyDescent="0.3">
      <c r="T48" s="236">
        <f>+(T27+T34)/100</f>
        <v>102.23840482826978</v>
      </c>
      <c r="U48" s="236">
        <f>+(U27+U34)/100</f>
        <v>-43.543884094238365</v>
      </c>
      <c r="V48" s="236">
        <f>+U48-T48</f>
        <v>-145.78228892250814</v>
      </c>
    </row>
    <row r="49" spans="20:22" x14ac:dyDescent="0.3">
      <c r="T49" s="236">
        <f>+T31/100</f>
        <v>17.241757267709868</v>
      </c>
      <c r="U49" s="236">
        <f>+U31/100</f>
        <v>-8.2653304460986696</v>
      </c>
      <c r="V49" s="236">
        <f>+U49-T49</f>
        <v>-25.507087713808538</v>
      </c>
    </row>
    <row r="50" spans="20:22" x14ac:dyDescent="0.3">
      <c r="T50" s="6">
        <f>+(T32+T33)/100</f>
        <v>11.908764666666666</v>
      </c>
      <c r="U50" s="6">
        <f>+(U32+U33)/100</f>
        <v>9.7824159300000009</v>
      </c>
      <c r="V50" s="236">
        <f>+U50-T50</f>
        <v>-2.1263487366666656</v>
      </c>
    </row>
    <row r="51" spans="20:22" x14ac:dyDescent="0.3">
      <c r="T51" s="6">
        <f>+T42/100-T48-T49-T50</f>
        <v>-9.701363659999835</v>
      </c>
      <c r="U51" s="569">
        <f>+U42/100-U48-U49-U50</f>
        <v>-18.682837439100105</v>
      </c>
      <c r="V51" s="236">
        <f>+U51-T51</f>
        <v>-8.9814737791002699</v>
      </c>
    </row>
    <row r="52" spans="20:22" x14ac:dyDescent="0.3">
      <c r="T52" s="236">
        <f>+SUM(T48:T51)</f>
        <v>121.68756310264649</v>
      </c>
      <c r="U52" s="236">
        <f>+SUM(U48:U51)</f>
        <v>-60.709636049437144</v>
      </c>
      <c r="V52" s="236">
        <f>+U52-T52</f>
        <v>-182.39719915208363</v>
      </c>
    </row>
  </sheetData>
  <mergeCells count="3">
    <mergeCell ref="H5:I6"/>
    <mergeCell ref="Y42:AG42"/>
    <mergeCell ref="I45:I46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D905-614A-44EA-9ACC-3DB31372882A}">
  <sheetPr>
    <tabColor theme="1" tint="0.34998626667073579"/>
    <pageSetUpPr fitToPage="1"/>
  </sheetPr>
  <dimension ref="A1:Z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activeCell="P31" sqref="P31"/>
      <selection pane="topRight" activeCell="P31" sqref="P31"/>
      <selection pane="bottomLeft" activeCell="P31" sqref="P31"/>
      <selection pane="bottomRight" activeCell="E8" sqref="E8"/>
    </sheetView>
  </sheetViews>
  <sheetFormatPr defaultRowHeight="16.5" x14ac:dyDescent="0.3"/>
  <cols>
    <col min="1" max="3" width="5.625" style="6" customWidth="1"/>
    <col min="4" max="4" width="9.875" style="6" customWidth="1"/>
    <col min="5" max="7" width="9.625" style="6" customWidth="1"/>
    <col min="8" max="10" width="8.625" style="6" customWidth="1"/>
    <col min="11" max="23" width="9.625" style="6" customWidth="1"/>
    <col min="24" max="16384" width="9" style="6"/>
  </cols>
  <sheetData>
    <row r="1" spans="1:26" ht="9.9499999999999993" customHeight="1" x14ac:dyDescent="0.3"/>
    <row r="2" spans="1:26" ht="9.9499999999999993" hidden="1" customHeight="1" x14ac:dyDescent="0.3"/>
    <row r="3" spans="1:26" ht="9.9499999999999993" customHeight="1" x14ac:dyDescent="0.3"/>
    <row r="4" spans="1:26" ht="31.5" x14ac:dyDescent="0.3">
      <c r="D4" s="398" t="s">
        <v>220</v>
      </c>
      <c r="F4" s="398"/>
      <c r="I4" s="398"/>
      <c r="J4" s="398"/>
    </row>
    <row r="5" spans="1:26" ht="21.95" customHeight="1" x14ac:dyDescent="0.3">
      <c r="W5" s="397" t="s">
        <v>140</v>
      </c>
    </row>
    <row r="6" spans="1:26" ht="24" customHeight="1" thickBot="1" x14ac:dyDescent="0.35">
      <c r="A6" s="6" t="s">
        <v>139</v>
      </c>
      <c r="D6" s="611" t="s">
        <v>11</v>
      </c>
      <c r="E6" s="396" t="s">
        <v>138</v>
      </c>
      <c r="F6" s="395"/>
      <c r="G6" s="394"/>
      <c r="H6" s="396" t="s">
        <v>137</v>
      </c>
      <c r="I6" s="395"/>
      <c r="J6" s="395"/>
      <c r="K6" s="394"/>
      <c r="L6" s="396" t="s">
        <v>136</v>
      </c>
      <c r="M6" s="395"/>
      <c r="N6" s="395"/>
      <c r="O6" s="394"/>
      <c r="P6" s="396" t="s">
        <v>135</v>
      </c>
      <c r="Q6" s="395"/>
      <c r="R6" s="395"/>
      <c r="S6" s="394"/>
      <c r="T6" s="396" t="s">
        <v>134</v>
      </c>
      <c r="U6" s="395"/>
      <c r="V6" s="395"/>
      <c r="W6" s="394"/>
    </row>
    <row r="7" spans="1:26" ht="24" customHeight="1" x14ac:dyDescent="0.3">
      <c r="D7" s="612"/>
      <c r="E7" s="392" t="s">
        <v>36</v>
      </c>
      <c r="F7" s="391" t="s">
        <v>37</v>
      </c>
      <c r="G7" s="393" t="s">
        <v>38</v>
      </c>
      <c r="H7" s="392" t="s">
        <v>12</v>
      </c>
      <c r="I7" s="391" t="s">
        <v>13</v>
      </c>
      <c r="J7" s="390" t="s">
        <v>38</v>
      </c>
      <c r="K7" s="389" t="s">
        <v>133</v>
      </c>
      <c r="L7" s="392" t="s">
        <v>12</v>
      </c>
      <c r="M7" s="391" t="s">
        <v>13</v>
      </c>
      <c r="N7" s="390" t="s">
        <v>38</v>
      </c>
      <c r="O7" s="389" t="s">
        <v>133</v>
      </c>
      <c r="P7" s="392" t="s">
        <v>12</v>
      </c>
      <c r="Q7" s="391" t="s">
        <v>13</v>
      </c>
      <c r="R7" s="390" t="s">
        <v>38</v>
      </c>
      <c r="S7" s="389" t="s">
        <v>133</v>
      </c>
      <c r="T7" s="392" t="s">
        <v>12</v>
      </c>
      <c r="U7" s="391" t="s">
        <v>13</v>
      </c>
      <c r="V7" s="390" t="s">
        <v>38</v>
      </c>
      <c r="W7" s="389" t="s">
        <v>133</v>
      </c>
    </row>
    <row r="8" spans="1:26" ht="24" customHeight="1" x14ac:dyDescent="0.3">
      <c r="D8" s="388" t="s">
        <v>32</v>
      </c>
      <c r="E8" s="386">
        <f>+[4]합계!$H$86/1000</f>
        <v>2992.6308435836336</v>
      </c>
      <c r="F8" s="385">
        <f>+[4]합계!$I$86/1000</f>
        <v>551.8591450099982</v>
      </c>
      <c r="G8" s="384">
        <f t="shared" ref="G8:G28" si="0">+F8-E8</f>
        <v>-2440.7716985736351</v>
      </c>
      <c r="H8" s="386">
        <f>+[4]합계!$T$5/1000</f>
        <v>276</v>
      </c>
      <c r="I8" s="385">
        <f>+[4]합계!$U$5/1000</f>
        <v>215.28800000000001</v>
      </c>
      <c r="J8" s="384">
        <f t="shared" ref="J8:J28" si="1">+I8-H8</f>
        <v>-60.711999999999989</v>
      </c>
      <c r="K8" s="387">
        <f>+[4]합계!$M$86/1000</f>
        <v>-890.93489187938997</v>
      </c>
      <c r="L8" s="386">
        <f>+[4]합계!$Q$85</f>
        <v>101693.23366841172</v>
      </c>
      <c r="M8" s="385">
        <f>+[4]합계!$R$85</f>
        <v>98207.724138894569</v>
      </c>
      <c r="N8" s="384">
        <f t="shared" ref="N8:N28" si="2">+M8-L8</f>
        <v>-3485.5095295171486</v>
      </c>
      <c r="O8" s="387">
        <f>+[4]합계!$K$86/1000</f>
        <v>-748.42254821604024</v>
      </c>
      <c r="P8" s="386">
        <f>+[4]합계!$Q$50</f>
        <v>87135.620706087313</v>
      </c>
      <c r="Q8" s="385">
        <f>+[4]합계!$R$50</f>
        <v>90745.057103504761</v>
      </c>
      <c r="R8" s="384">
        <f t="shared" ref="R8:R28" si="3">+Q8-P8</f>
        <v>3609.4363974174485</v>
      </c>
      <c r="S8" s="387">
        <f>+[4]합계!$L$56/1000</f>
        <v>-666.47320336610505</v>
      </c>
      <c r="T8" s="386">
        <f>+([4]합계!$H$80+[4]합계!$H$85)/1000</f>
        <v>1025.2703340179012</v>
      </c>
      <c r="U8" s="385">
        <f>+([4]합계!$I$80+[4]합계!$I$85)/1000</f>
        <v>1160.21138913</v>
      </c>
      <c r="V8" s="384">
        <f t="shared" ref="V8:V28" si="4">+U8-T8</f>
        <v>134.94105511209887</v>
      </c>
      <c r="W8" s="383">
        <f>+([4]합계!$L$80+[4]합계!$L$85)/1000</f>
        <v>-134.94105511209887</v>
      </c>
      <c r="Y8" s="6">
        <f t="shared" ref="Y8:Y28" si="5">+G8-K8-O8-S8-W8</f>
        <v>-1.1368683772161603E-12</v>
      </c>
      <c r="Z8" s="6">
        <f t="shared" ref="Z8:Z28" si="6">+Y8*1000000</f>
        <v>-1.1368683772161603E-6</v>
      </c>
    </row>
    <row r="9" spans="1:26" ht="24" customHeight="1" x14ac:dyDescent="0.3">
      <c r="D9" s="382" t="s">
        <v>16</v>
      </c>
      <c r="E9" s="381">
        <f>+[4]수도권!$H$86/1000</f>
        <v>827.85556847410942</v>
      </c>
      <c r="F9" s="380">
        <f>+[4]수도권!$I$86/1000</f>
        <v>72.705947010001054</v>
      </c>
      <c r="G9" s="379">
        <f t="shared" si="0"/>
        <v>-755.14962146410835</v>
      </c>
      <c r="H9" s="381">
        <f>+[4]수도권!$T$5/1000</f>
        <v>96</v>
      </c>
      <c r="I9" s="380">
        <f>+[4]수도권!$U$5/1000</f>
        <v>79.021500000000003</v>
      </c>
      <c r="J9" s="379">
        <f t="shared" si="1"/>
        <v>-16.978499999999997</v>
      </c>
      <c r="K9" s="378">
        <f>+[4]수도권!$M$86/1000</f>
        <v>-206.92151406255715</v>
      </c>
      <c r="L9" s="381">
        <f>+[4]수도권!$Q$85</f>
        <v>100069.31703271811</v>
      </c>
      <c r="M9" s="380">
        <f>+[4]수도권!$R$85</f>
        <v>94672.854300716004</v>
      </c>
      <c r="N9" s="379">
        <f t="shared" si="2"/>
        <v>-5396.46273200211</v>
      </c>
      <c r="O9" s="378">
        <f>+[4]수도권!$K$86/1000</f>
        <v>-423.95960338291576</v>
      </c>
      <c r="P9" s="381">
        <f>+[4]수도권!$Q$50</f>
        <v>88139.916943109114</v>
      </c>
      <c r="Q9" s="380">
        <f>+[4]수도권!$R$50</f>
        <v>89477.383364817681</v>
      </c>
      <c r="R9" s="379">
        <f t="shared" si="3"/>
        <v>1337.4664217085665</v>
      </c>
      <c r="S9" s="378">
        <f>+[4]수도권!$L$56/1000</f>
        <v>-105.13774539698962</v>
      </c>
      <c r="T9" s="381">
        <f>+([4]수도권!$H$80+[4]수도권!$H$85)/1000</f>
        <v>317.36684012835553</v>
      </c>
      <c r="U9" s="380">
        <f>+([4]수도권!$I$80+[4]수도권!$I$85)/1000</f>
        <v>336.49759875000001</v>
      </c>
      <c r="V9" s="379">
        <f t="shared" si="4"/>
        <v>19.130758621644475</v>
      </c>
      <c r="W9" s="378">
        <f>+([4]수도권!$L$80+[4]수도권!$L$85)/1000</f>
        <v>-19.130758621644425</v>
      </c>
      <c r="Y9" s="6">
        <f t="shared" si="5"/>
        <v>-1.3429257705865894E-12</v>
      </c>
      <c r="Z9" s="6">
        <f t="shared" si="6"/>
        <v>-1.3429257705865894E-6</v>
      </c>
    </row>
    <row r="10" spans="1:26" ht="24" customHeight="1" x14ac:dyDescent="0.3">
      <c r="D10" s="377" t="s">
        <v>17</v>
      </c>
      <c r="E10" s="376">
        <f>+[4]영남권!$H$86/1000</f>
        <v>1245.3515202977699</v>
      </c>
      <c r="F10" s="375">
        <f>+[4]영남권!$I$86/1000</f>
        <v>179.44382500000188</v>
      </c>
      <c r="G10" s="374">
        <f t="shared" si="0"/>
        <v>-1065.907695297768</v>
      </c>
      <c r="H10" s="376">
        <f>+[4]영남권!$T$5/1000</f>
        <v>126.5</v>
      </c>
      <c r="I10" s="375">
        <f>+[4]영남권!$U$5/1000</f>
        <v>89.744500000000002</v>
      </c>
      <c r="J10" s="374">
        <f t="shared" si="1"/>
        <v>-36.755499999999998</v>
      </c>
      <c r="K10" s="373">
        <f>+[4]영남권!$M$86/1000</f>
        <v>-509.48135004211542</v>
      </c>
      <c r="L10" s="376">
        <f>+[4]영남권!$Q$85</f>
        <v>100505.81333866165</v>
      </c>
      <c r="M10" s="375">
        <f>+[4]영남권!$R$85</f>
        <v>99815.877095532327</v>
      </c>
      <c r="N10" s="374">
        <f t="shared" si="2"/>
        <v>-689.93624312932661</v>
      </c>
      <c r="O10" s="373">
        <f>+[4]영남권!$K$86/1000</f>
        <v>-61.91798317151985</v>
      </c>
      <c r="P10" s="376">
        <f>+[4]영남권!$Q$50</f>
        <v>86644.449732069028</v>
      </c>
      <c r="Q10" s="375">
        <f>+[4]영남권!$R$50</f>
        <v>92116.211316300803</v>
      </c>
      <c r="R10" s="374">
        <f t="shared" si="3"/>
        <v>5471.7615842317755</v>
      </c>
      <c r="S10" s="373">
        <f>+[4]영남권!$L$56/1000</f>
        <v>-382.30611551033189</v>
      </c>
      <c r="T10" s="376">
        <f>+([4]영남권!$H$80+[4]영남권!$H$85)/1000</f>
        <v>508.11097593619814</v>
      </c>
      <c r="U10" s="375">
        <f>+([4]영남권!$I$80+[4]영남권!$I$85)/1000</f>
        <v>620.31322250999995</v>
      </c>
      <c r="V10" s="374">
        <f t="shared" si="4"/>
        <v>112.2022465738018</v>
      </c>
      <c r="W10" s="373">
        <f>+([4]영남권!$L$80+[4]영남권!$L$85)/1000</f>
        <v>-112.20224657380182</v>
      </c>
      <c r="Y10" s="6">
        <f t="shared" si="5"/>
        <v>9.8054897534893826E-13</v>
      </c>
      <c r="Z10" s="6">
        <f t="shared" si="6"/>
        <v>9.8054897534893826E-7</v>
      </c>
    </row>
    <row r="11" spans="1:26" ht="24" customHeight="1" x14ac:dyDescent="0.3">
      <c r="D11" s="372" t="s">
        <v>132</v>
      </c>
      <c r="E11" s="371">
        <f>+[4]중부권!$H$86/1000</f>
        <v>919.42375481176191</v>
      </c>
      <c r="F11" s="370">
        <f>+[4]중부권!$I$86/1000</f>
        <v>299.70937300000003</v>
      </c>
      <c r="G11" s="369">
        <f t="shared" si="0"/>
        <v>-619.71438181176188</v>
      </c>
      <c r="H11" s="371">
        <f>+[4]중부권!$T$5/1000</f>
        <v>53.5</v>
      </c>
      <c r="I11" s="370">
        <f>+[4]중부권!$U$5/1000</f>
        <v>46.521999999999998</v>
      </c>
      <c r="J11" s="369">
        <f t="shared" si="1"/>
        <v>-6.9780000000000015</v>
      </c>
      <c r="K11" s="368">
        <f>+[4]중부권!$M$86/1000</f>
        <v>-148.17586654196774</v>
      </c>
      <c r="L11" s="371">
        <f>+[4]중부권!$Q$85</f>
        <v>107414.81626168225</v>
      </c>
      <c r="M11" s="370">
        <f>+[4]중부권!$R$85</f>
        <v>101081.35510696511</v>
      </c>
      <c r="N11" s="369">
        <f t="shared" si="2"/>
        <v>-6333.4611547171371</v>
      </c>
      <c r="O11" s="368">
        <f>+[4]중부권!$K$86/1000</f>
        <v>-293.98026641850532</v>
      </c>
      <c r="P11" s="371">
        <f>+[4]중부권!$Q$50</f>
        <v>86494.885929624128</v>
      </c>
      <c r="Q11" s="370">
        <f>+[4]중부권!$R$50</f>
        <v>90239.801307836256</v>
      </c>
      <c r="R11" s="369">
        <f t="shared" si="3"/>
        <v>3744.9153782121284</v>
      </c>
      <c r="S11" s="368">
        <f>+[4]중부권!$L$56/1000</f>
        <v>-173.95019893463794</v>
      </c>
      <c r="T11" s="371">
        <f>+([4]중부권!$H$80+[4]중부권!$H$85)/1000</f>
        <v>199.79251795334741</v>
      </c>
      <c r="U11" s="370">
        <f>+([4]중부권!$I$80+[4]중부권!$I$85)/1000</f>
        <v>203.40056787</v>
      </c>
      <c r="V11" s="369">
        <f t="shared" si="4"/>
        <v>3.6080499166525897</v>
      </c>
      <c r="W11" s="368">
        <f>+([4]중부권!$L$80+[4]중부권!$L$85)/1000</f>
        <v>-3.6080499166525986</v>
      </c>
      <c r="Y11" s="6">
        <f t="shared" si="5"/>
        <v>1.6857626405908377E-12</v>
      </c>
      <c r="Z11" s="6">
        <f t="shared" si="6"/>
        <v>1.6857626405908377E-6</v>
      </c>
    </row>
    <row r="12" spans="1:26" ht="24" customHeight="1" x14ac:dyDescent="0.3">
      <c r="D12" s="367" t="s">
        <v>18</v>
      </c>
      <c r="E12" s="365">
        <f>+[4]안양!$H$86/1000</f>
        <v>415.60971081550616</v>
      </c>
      <c r="F12" s="364">
        <f>+[4]안양!$I$86/1000</f>
        <v>233.33185899999987</v>
      </c>
      <c r="G12" s="366">
        <f t="shared" si="0"/>
        <v>-182.2778518155063</v>
      </c>
      <c r="H12" s="365">
        <f>+[4]안양!$T$5/1000</f>
        <v>35</v>
      </c>
      <c r="I12" s="364">
        <f>+[4]안양!$U$5/1000</f>
        <v>29.010999999999999</v>
      </c>
      <c r="J12" s="363">
        <f t="shared" si="1"/>
        <v>-5.9890000000000008</v>
      </c>
      <c r="K12" s="362">
        <f>+[4]안양!$M$86/1000</f>
        <v>-87.643834977760562</v>
      </c>
      <c r="L12" s="365">
        <f>+[4]안양!$Q$85</f>
        <v>101770.10057142859</v>
      </c>
      <c r="M12" s="364">
        <f>+[4]안양!$R$85</f>
        <v>97656.963565544109</v>
      </c>
      <c r="N12" s="363">
        <f t="shared" si="2"/>
        <v>-4113.1370058844768</v>
      </c>
      <c r="O12" s="362">
        <f>+[4]안양!$K$86/1000</f>
        <v>-119.32621767771455</v>
      </c>
      <c r="P12" s="365">
        <f>+[4]안양!$Q$50</f>
        <v>87135.965494160148</v>
      </c>
      <c r="Q12" s="364">
        <f>+[4]안양!$R$50</f>
        <v>86097.417857019915</v>
      </c>
      <c r="R12" s="363">
        <f t="shared" si="3"/>
        <v>-1038.5476371402328</v>
      </c>
      <c r="S12" s="362">
        <f>+[4]안양!$L$56/1000</f>
        <v>30.117353801080228</v>
      </c>
      <c r="T12" s="365">
        <f>+([4]안양!$H$80+[4]안양!$H$85)/1000</f>
        <v>96.585016888888873</v>
      </c>
      <c r="U12" s="364">
        <f>+([4]안양!$I$80+[4]안양!$I$85)/1000</f>
        <v>102.01016985000001</v>
      </c>
      <c r="V12" s="363">
        <f t="shared" si="4"/>
        <v>5.425152961111138</v>
      </c>
      <c r="W12" s="362">
        <f>+([4]안양!$L$80+[4]안양!$L$85)/1000</f>
        <v>-5.425152961111114</v>
      </c>
      <c r="Y12" s="6">
        <f t="shared" si="5"/>
        <v>-2.9398705692074145E-13</v>
      </c>
      <c r="Z12" s="6">
        <f t="shared" si="6"/>
        <v>-2.9398705692074145E-7</v>
      </c>
    </row>
    <row r="13" spans="1:26" ht="24" customHeight="1" x14ac:dyDescent="0.3">
      <c r="D13" s="354" t="s">
        <v>19</v>
      </c>
      <c r="E13" s="351">
        <f>+[4]인천!$H$86/1000</f>
        <v>237.49323523752415</v>
      </c>
      <c r="F13" s="350">
        <f>+[4]인천!$I$86/1000</f>
        <v>-104.18711198999978</v>
      </c>
      <c r="G13" s="352">
        <f t="shared" si="0"/>
        <v>-341.68034722752395</v>
      </c>
      <c r="H13" s="351">
        <f>+[4]인천!$T$5/1000</f>
        <v>26</v>
      </c>
      <c r="I13" s="350">
        <f>+[4]인천!$U$5/1000</f>
        <v>26.297000000000001</v>
      </c>
      <c r="J13" s="152">
        <f t="shared" si="1"/>
        <v>0.2970000000000006</v>
      </c>
      <c r="K13" s="349">
        <f>+[4]인천!$M$86/1000</f>
        <v>3.8050841949487002</v>
      </c>
      <c r="L13" s="351">
        <f>+[4]인천!$Q$85</f>
        <v>103615.12376695918</v>
      </c>
      <c r="M13" s="350">
        <f>+[4]인천!$R$85</f>
        <v>92880.485454614594</v>
      </c>
      <c r="N13" s="152">
        <f t="shared" si="2"/>
        <v>-10734.638312344585</v>
      </c>
      <c r="O13" s="349">
        <f>+[4]인천!$K$86/1000</f>
        <v>-282.28878369972557</v>
      </c>
      <c r="P13" s="351">
        <f>+[4]인천!$Q$50</f>
        <v>90803.392470835592</v>
      </c>
      <c r="Q13" s="350">
        <f>+[4]인천!$R$50</f>
        <v>92863.285062540381</v>
      </c>
      <c r="R13" s="152">
        <f t="shared" si="3"/>
        <v>2059.8925917047891</v>
      </c>
      <c r="S13" s="349">
        <f>+[4]인천!$L$56/1000</f>
        <v>-54.098456654436333</v>
      </c>
      <c r="T13" s="351">
        <f>+([4]인천!$H$80+[4]인천!$H$85)/1000</f>
        <v>95.6117784616889</v>
      </c>
      <c r="U13" s="350">
        <f>+([4]인천!$I$80+[4]인천!$I$85)/1000</f>
        <v>104.70996953</v>
      </c>
      <c r="V13" s="152">
        <f t="shared" si="4"/>
        <v>9.0981910683110954</v>
      </c>
      <c r="W13" s="349">
        <f>+([4]인천!$L$80+[4]인천!$L$85)/1000</f>
        <v>-9.0981910683111007</v>
      </c>
      <c r="Y13" s="6">
        <f t="shared" si="5"/>
        <v>3.7481129311345285E-13</v>
      </c>
      <c r="Z13" s="6">
        <f t="shared" si="6"/>
        <v>3.7481129311345285E-7</v>
      </c>
    </row>
    <row r="14" spans="1:26" ht="24" customHeight="1" x14ac:dyDescent="0.3">
      <c r="D14" s="354" t="s">
        <v>20</v>
      </c>
      <c r="E14" s="351">
        <f>+[4]파주!$H$86/1000</f>
        <v>90.273885440254929</v>
      </c>
      <c r="F14" s="350">
        <f>+[4]파주!$I$86/1000</f>
        <v>-62.289172000000107</v>
      </c>
      <c r="G14" s="352">
        <f t="shared" si="0"/>
        <v>-152.56305744025502</v>
      </c>
      <c r="H14" s="351">
        <f>+[4]파주!$T$5/1000</f>
        <v>21</v>
      </c>
      <c r="I14" s="350">
        <f>+[4]파주!$U$5/1000</f>
        <v>14.177</v>
      </c>
      <c r="J14" s="152">
        <f t="shared" si="1"/>
        <v>-6.8230000000000004</v>
      </c>
      <c r="K14" s="349">
        <f>+[4]파주!$M$86/1000</f>
        <v>-53.873349071212346</v>
      </c>
      <c r="L14" s="351">
        <f>+[4]파주!$Q$85</f>
        <v>96205.726057142849</v>
      </c>
      <c r="M14" s="350">
        <f>+[4]파주!$R$85</f>
        <v>90400.804482114632</v>
      </c>
      <c r="N14" s="152">
        <f t="shared" si="2"/>
        <v>-5804.9215750282165</v>
      </c>
      <c r="O14" s="349">
        <f>+[4]파주!$K$86/1000</f>
        <v>-80.816118167542825</v>
      </c>
      <c r="P14" s="351">
        <f>+[4]파주!$Q$50</f>
        <v>88539.245544114834</v>
      </c>
      <c r="Q14" s="350">
        <f>+[4]파주!$R$50</f>
        <v>89478.402025571035</v>
      </c>
      <c r="R14" s="152">
        <f t="shared" si="3"/>
        <v>939.15648145620071</v>
      </c>
      <c r="S14" s="349">
        <f>+[4]파주!$L$56/1000</f>
        <v>-13.074911954833395</v>
      </c>
      <c r="T14" s="351">
        <f>+([4]파주!$H$80+[4]파주!$H$85)/1000</f>
        <v>70.722205333333335</v>
      </c>
      <c r="U14" s="350">
        <f>+([4]파주!$I$80+[4]파주!$I$85)/1000</f>
        <v>75.520883579999989</v>
      </c>
      <c r="V14" s="152">
        <f t="shared" si="4"/>
        <v>4.798678246666654</v>
      </c>
      <c r="W14" s="349">
        <f>+([4]파주!$L$80+[4]파주!$L$85)/1000</f>
        <v>-4.7986782466666629</v>
      </c>
      <c r="Y14" s="6">
        <f t="shared" si="5"/>
        <v>2.0605739337042905E-13</v>
      </c>
      <c r="Z14" s="6">
        <f t="shared" si="6"/>
        <v>2.0605739337042905E-7</v>
      </c>
    </row>
    <row r="15" spans="1:26" ht="24" customHeight="1" x14ac:dyDescent="0.3">
      <c r="D15" s="354" t="s">
        <v>108</v>
      </c>
      <c r="E15" s="351">
        <f>+[4]김포!$H$86/1000</f>
        <v>84.478736980823399</v>
      </c>
      <c r="F15" s="350">
        <f>+[4]김포!$I$86/1000</f>
        <v>5.8503719999998935</v>
      </c>
      <c r="G15" s="352">
        <f t="shared" si="0"/>
        <v>-78.628364980823505</v>
      </c>
      <c r="H15" s="351">
        <f>+[4]김포!$T$5/1000</f>
        <v>14</v>
      </c>
      <c r="I15" s="350">
        <f>+[4]김포!$U$5/1000</f>
        <v>9.5365000000000002</v>
      </c>
      <c r="J15" s="152">
        <f t="shared" si="1"/>
        <v>-4.4634999999999998</v>
      </c>
      <c r="K15" s="349">
        <f>+[4]김포!$M$86/1000</f>
        <v>-45.60972824749566</v>
      </c>
      <c r="L15" s="351">
        <f>+[4]김포!$Q$85</f>
        <v>95027.675000000003</v>
      </c>
      <c r="M15" s="350">
        <f>+[4]김포!$R$85</f>
        <v>96819.911063487802</v>
      </c>
      <c r="N15" s="152">
        <f t="shared" si="2"/>
        <v>1792.2360634877987</v>
      </c>
      <c r="O15" s="349">
        <f>+[4]김포!$K$86/1000</f>
        <v>16.72604306249988</v>
      </c>
      <c r="P15" s="351">
        <f>+[4]김포!$Q$50</f>
        <v>85104.34811248086</v>
      </c>
      <c r="Q15" s="361">
        <f>+[4]김포!$R$50</f>
        <v>90455.104634342337</v>
      </c>
      <c r="R15" s="152">
        <f t="shared" si="3"/>
        <v>5350.7565218614764</v>
      </c>
      <c r="S15" s="349">
        <f>+[4]김포!$L$56/1000</f>
        <v>-49.935943450272426</v>
      </c>
      <c r="T15" s="351">
        <f>+([4]김포!$H$80+[4]김포!$H$85)/1000</f>
        <v>54.447839444444448</v>
      </c>
      <c r="U15" s="350">
        <f>+([4]김포!$I$80+[4]김포!$I$85)/1000</f>
        <v>54.256575789999992</v>
      </c>
      <c r="V15" s="152">
        <f t="shared" si="4"/>
        <v>-0.19126365444445526</v>
      </c>
      <c r="W15" s="349">
        <f>+([4]김포!$L$80+[4]김포!$L$85)/1000</f>
        <v>0.19126365444444765</v>
      </c>
      <c r="Y15" s="6">
        <f t="shared" si="5"/>
        <v>2.5629498523471739E-13</v>
      </c>
      <c r="Z15" s="6">
        <f t="shared" si="6"/>
        <v>2.5629498523471739E-7</v>
      </c>
    </row>
    <row r="16" spans="1:26" ht="24" customHeight="1" x14ac:dyDescent="0.3">
      <c r="D16" s="360" t="s">
        <v>21</v>
      </c>
      <c r="E16" s="358">
        <f>+[4]부산!$H$86/1000</f>
        <v>166.34785653224458</v>
      </c>
      <c r="F16" s="357">
        <f>+[4]부산!$I$86/1000</f>
        <v>113.69739100000014</v>
      </c>
      <c r="G16" s="359">
        <f t="shared" si="0"/>
        <v>-52.650465532244439</v>
      </c>
      <c r="H16" s="358">
        <f>+[4]부산!$T$5/1000</f>
        <v>19</v>
      </c>
      <c r="I16" s="357">
        <f>+[4]부산!$U$5/1000</f>
        <v>17.712</v>
      </c>
      <c r="J16" s="356">
        <f t="shared" si="1"/>
        <v>-1.2880000000000003</v>
      </c>
      <c r="K16" s="355">
        <f>+[4]부산!$M$86/1000</f>
        <v>-17.610646600899273</v>
      </c>
      <c r="L16" s="358">
        <f>+[4]부산!$Q$85</f>
        <v>107700.02044000001</v>
      </c>
      <c r="M16" s="357">
        <f>+[4]부산!$R$85</f>
        <v>109652.3317524842</v>
      </c>
      <c r="N16" s="356">
        <f t="shared" si="2"/>
        <v>1952.3113124841911</v>
      </c>
      <c r="O16" s="355">
        <f>+[4]부산!$K$86/1000</f>
        <v>34.57933796671999</v>
      </c>
      <c r="P16" s="358">
        <f>+[4]부산!$Q$50</f>
        <v>94027.158172221054</v>
      </c>
      <c r="Q16" s="357">
        <f>+[4]부산!$R$50</f>
        <v>97151.622459349601</v>
      </c>
      <c r="R16" s="356">
        <f t="shared" si="3"/>
        <v>3124.4642871285469</v>
      </c>
      <c r="S16" s="355">
        <f>+[4]부산!$L$56/1000</f>
        <v>4.3880187963792601</v>
      </c>
      <c r="T16" s="358">
        <f>+([4]부산!$H$80+[4]부산!$H$85)/1000</f>
        <v>93.43652655555556</v>
      </c>
      <c r="U16" s="357">
        <f>+([4]부산!$I$80+[4]부산!$I$85)/1000</f>
        <v>167.44370225</v>
      </c>
      <c r="V16" s="356">
        <f t="shared" si="4"/>
        <v>74.007175694444442</v>
      </c>
      <c r="W16" s="355">
        <f>+([4]부산!$L$80+[4]부산!$L$85)/1000</f>
        <v>-74.007175694444456</v>
      </c>
      <c r="Y16" s="6">
        <f t="shared" si="5"/>
        <v>0</v>
      </c>
      <c r="Z16" s="6">
        <f t="shared" si="6"/>
        <v>0</v>
      </c>
    </row>
    <row r="17" spans="4:26" ht="24" customHeight="1" x14ac:dyDescent="0.3">
      <c r="D17" s="354" t="s">
        <v>22</v>
      </c>
      <c r="E17" s="351">
        <f>+[4]서부산!$H$86/1000</f>
        <v>178.71898030460724</v>
      </c>
      <c r="F17" s="350">
        <f>+[4]서부산!$I$86/1000</f>
        <v>182.61006500000011</v>
      </c>
      <c r="G17" s="352">
        <f t="shared" si="0"/>
        <v>3.8910846953928626</v>
      </c>
      <c r="H17" s="351">
        <f>+[4]서부산!$T$5/1000</f>
        <v>19</v>
      </c>
      <c r="I17" s="350">
        <f>+[4]서부산!$U$5/1000</f>
        <v>20.565000000000001</v>
      </c>
      <c r="J17" s="152">
        <f t="shared" si="1"/>
        <v>1.5650000000000013</v>
      </c>
      <c r="K17" s="349">
        <f>+[4]서부산!$M$86/1000</f>
        <v>21.019191381259617</v>
      </c>
      <c r="L17" s="351">
        <f>+[4]서부산!$Q$85</f>
        <v>99300.385473684262</v>
      </c>
      <c r="M17" s="350">
        <f>+[4]서부산!$R$85</f>
        <v>99253.367371748114</v>
      </c>
      <c r="N17" s="152">
        <f t="shared" si="2"/>
        <v>-47.018101936148014</v>
      </c>
      <c r="O17" s="349">
        <f>+[4]서부산!$K$86/1000</f>
        <v>-0.96692726631688397</v>
      </c>
      <c r="P17" s="351">
        <f>+[4]서부산!$Q$50</f>
        <v>85869.592258821882</v>
      </c>
      <c r="Q17" s="350">
        <f>+[4]서부산!$R$50</f>
        <v>86280.233477185655</v>
      </c>
      <c r="R17" s="152">
        <f t="shared" si="3"/>
        <v>410.64121836377308</v>
      </c>
      <c r="S17" s="349">
        <f>+[4]서부산!$L$56/1000</f>
        <v>28.80852248267243</v>
      </c>
      <c r="T17" s="351">
        <f>+([4]서부산!$H$80+[4]서부산!$H$85)/1000</f>
        <v>76.466090777777779</v>
      </c>
      <c r="U17" s="350">
        <f>+([4]서부산!$I$80+[4]서부산!$I$85)/1000</f>
        <v>121.43579267999999</v>
      </c>
      <c r="V17" s="152">
        <f t="shared" si="4"/>
        <v>44.969701902222212</v>
      </c>
      <c r="W17" s="349">
        <f>+([4]서부산!$L$80+[4]서부산!$L$85)/1000</f>
        <v>-44.969701902222226</v>
      </c>
      <c r="Y17" s="6">
        <f t="shared" si="5"/>
        <v>-7.1054273576010019E-14</v>
      </c>
      <c r="Z17" s="6">
        <f t="shared" si="6"/>
        <v>-7.1054273576010019E-8</v>
      </c>
    </row>
    <row r="18" spans="4:26" ht="24" customHeight="1" x14ac:dyDescent="0.3">
      <c r="D18" s="354" t="s">
        <v>23</v>
      </c>
      <c r="E18" s="351">
        <f>+[4]김해!$H$86/1000</f>
        <v>147.10502384574576</v>
      </c>
      <c r="F18" s="350">
        <f>+[4]김해!$I$86/1000</f>
        <v>-38.691111000000127</v>
      </c>
      <c r="G18" s="352">
        <f t="shared" si="0"/>
        <v>-185.79613484574588</v>
      </c>
      <c r="H18" s="351">
        <f>+[4]김해!$T$5/1000</f>
        <v>16</v>
      </c>
      <c r="I18" s="350">
        <f>+[4]김해!$U$5/1000</f>
        <v>6.5209999999999999</v>
      </c>
      <c r="J18" s="152">
        <f t="shared" si="1"/>
        <v>-9.4789999999999992</v>
      </c>
      <c r="K18" s="349">
        <f>+[4]김해!$M$86/1000</f>
        <v>-117.59999799016956</v>
      </c>
      <c r="L18" s="351">
        <f>+[4]김해!$Q$85</f>
        <v>96299.793749999997</v>
      </c>
      <c r="M18" s="350">
        <f>+[4]김해!$R$85</f>
        <v>96519.046158564641</v>
      </c>
      <c r="N18" s="152">
        <f t="shared" si="2"/>
        <v>219.2524085646437</v>
      </c>
      <c r="O18" s="349">
        <f>+[4]김해!$K$86/1000</f>
        <v>1.4297449562500415</v>
      </c>
      <c r="P18" s="351">
        <f>+[4]김해!$Q$50</f>
        <v>83893.42198186311</v>
      </c>
      <c r="Q18" s="350">
        <f>+[4]김해!$R$50</f>
        <v>95345.224045391806</v>
      </c>
      <c r="R18" s="152">
        <f t="shared" si="3"/>
        <v>11451.802063528696</v>
      </c>
      <c r="S18" s="349">
        <f>+[4]김해!$L$56/1000</f>
        <v>-72.230707336270711</v>
      </c>
      <c r="T18" s="351">
        <f>+([4]김해!$H$80+[4]김해!$H$85)/1000</f>
        <v>51.396924444444444</v>
      </c>
      <c r="U18" s="350">
        <f>+([4]김해!$I$80+[4]김해!$I$85)/1000</f>
        <v>48.792098919999994</v>
      </c>
      <c r="V18" s="152">
        <f t="shared" si="4"/>
        <v>-2.6048255244444505</v>
      </c>
      <c r="W18" s="349">
        <f>+([4]김해!$L$80+[4]김해!$L$85)/1000</f>
        <v>2.6048255244444452</v>
      </c>
      <c r="Y18" s="6">
        <f t="shared" si="5"/>
        <v>-1.0835776720341528E-13</v>
      </c>
      <c r="Z18" s="6">
        <f t="shared" si="6"/>
        <v>-1.0835776720341528E-7</v>
      </c>
    </row>
    <row r="19" spans="4:26" ht="24" customHeight="1" x14ac:dyDescent="0.3">
      <c r="D19" s="354" t="s">
        <v>24</v>
      </c>
      <c r="E19" s="351">
        <f>+[4]정관!$H$86/1000</f>
        <v>140.96725293050312</v>
      </c>
      <c r="F19" s="350">
        <f>+[4]정관!$I$86/1000</f>
        <v>70.235028999999955</v>
      </c>
      <c r="G19" s="352">
        <f t="shared" si="0"/>
        <v>-70.732223930503167</v>
      </c>
      <c r="H19" s="351">
        <f>+[4]정관!$T$5/1000</f>
        <v>18</v>
      </c>
      <c r="I19" s="350">
        <f>+[4]정관!$U$5/1000</f>
        <v>18.136500000000002</v>
      </c>
      <c r="J19" s="152">
        <f t="shared" si="1"/>
        <v>0.13650000000000162</v>
      </c>
      <c r="K19" s="349">
        <f>+[4]정관!$M$86/1000</f>
        <v>1.6406530387507574</v>
      </c>
      <c r="L19" s="351">
        <f>+[4]정관!$Q$85</f>
        <v>102000.42528888889</v>
      </c>
      <c r="M19" s="350">
        <f>+[4]정관!$R$85</f>
        <v>99560.758691037408</v>
      </c>
      <c r="N19" s="152">
        <f t="shared" si="2"/>
        <v>-2439.6665978514793</v>
      </c>
      <c r="O19" s="349">
        <f>+[4]정관!$K$86/1000</f>
        <v>-44.247013251933346</v>
      </c>
      <c r="P19" s="351">
        <f>+[4]정관!$Q$50</f>
        <v>89980.989107564616</v>
      </c>
      <c r="Q19" s="350">
        <f>+[4]정관!$R$50</f>
        <v>91435.733994763665</v>
      </c>
      <c r="R19" s="152">
        <f t="shared" si="3"/>
        <v>1454.7448871990491</v>
      </c>
      <c r="S19" s="349">
        <f>+[4]정관!$L$56/1000</f>
        <v>-19.65512150065387</v>
      </c>
      <c r="T19" s="351">
        <f>+([4]정관!$H$80+[4]정관!$H$85)/1000</f>
        <v>75.382598333333334</v>
      </c>
      <c r="U19" s="350">
        <f>+([4]정관!$I$80+[4]정관!$I$85)/1000</f>
        <v>83.853340549999999</v>
      </c>
      <c r="V19" s="152">
        <f t="shared" si="4"/>
        <v>8.4707422166666646</v>
      </c>
      <c r="W19" s="349">
        <f>+([4]정관!$L$80+[4]정관!$L$85)/1000</f>
        <v>-8.4707422166666557</v>
      </c>
      <c r="Y19" s="6">
        <f t="shared" si="5"/>
        <v>-5.1514348342607263E-14</v>
      </c>
      <c r="Z19" s="6">
        <f t="shared" si="6"/>
        <v>-5.1514348342607263E-8</v>
      </c>
    </row>
    <row r="20" spans="4:26" ht="24" customHeight="1" x14ac:dyDescent="0.3">
      <c r="D20" s="354" t="s">
        <v>25</v>
      </c>
      <c r="E20" s="351">
        <f>+[4]양산!$H$86/1000</f>
        <v>111.54796931510573</v>
      </c>
      <c r="F20" s="350">
        <f>+[4]양산!$I$86/1000</f>
        <v>-76.735298000000057</v>
      </c>
      <c r="G20" s="352">
        <f t="shared" si="0"/>
        <v>-188.28326731510577</v>
      </c>
      <c r="H20" s="351">
        <f>+[4]양산!$T$5/1000</f>
        <v>12</v>
      </c>
      <c r="I20" s="350">
        <f>+[4]양산!$U$5/1000</f>
        <v>3.7959999999999998</v>
      </c>
      <c r="J20" s="152">
        <f t="shared" si="1"/>
        <v>-8.2040000000000006</v>
      </c>
      <c r="K20" s="349">
        <f>+[4]양산!$M$86/1000</f>
        <v>-103.1989916126125</v>
      </c>
      <c r="L20" s="351">
        <f>+[4]양산!$Q$85</f>
        <v>94380</v>
      </c>
      <c r="M20" s="350">
        <f>+[4]양산!$R$85</f>
        <v>91334.5100105374</v>
      </c>
      <c r="N20" s="152">
        <f t="shared" si="2"/>
        <v>-3045.4899894625996</v>
      </c>
      <c r="O20" s="349">
        <f>+[4]양산!$K$86/1000</f>
        <v>-11.560680000000028</v>
      </c>
      <c r="P20" s="351">
        <f>+[4]양산!$Q$50</f>
        <v>81800.893270037486</v>
      </c>
      <c r="Q20" s="350">
        <f>+[4]양산!$R$50</f>
        <v>100373.40674394098</v>
      </c>
      <c r="R20" s="152">
        <f t="shared" si="3"/>
        <v>18572.513473903498</v>
      </c>
      <c r="S20" s="349">
        <f>+[4]양산!$L$56/1000</f>
        <v>-70.316992576937736</v>
      </c>
      <c r="T20" s="351">
        <f>+([4]양산!$H$80+[4]양산!$H$85)/1000</f>
        <v>39.401311444444438</v>
      </c>
      <c r="U20" s="350">
        <f>+([4]양산!$I$80+[4]양산!$I$85)/1000</f>
        <v>42.607914570000005</v>
      </c>
      <c r="V20" s="152">
        <f t="shared" si="4"/>
        <v>3.2066031255555671</v>
      </c>
      <c r="W20" s="349">
        <f>+([4]양산!$L$80+[4]양산!$L$85)/1000</f>
        <v>-3.2066031255555609</v>
      </c>
      <c r="Y20" s="6">
        <f t="shared" si="5"/>
        <v>5.773159728050814E-14</v>
      </c>
      <c r="Z20" s="6">
        <f t="shared" si="6"/>
        <v>5.773159728050814E-8</v>
      </c>
    </row>
    <row r="21" spans="4:26" ht="24" customHeight="1" x14ac:dyDescent="0.3">
      <c r="D21" s="354" t="s">
        <v>26</v>
      </c>
      <c r="E21" s="351">
        <f>+[4]창원!$H$86/1000</f>
        <v>251.93650081406977</v>
      </c>
      <c r="F21" s="350">
        <f>+[4]창원!$I$86/1000</f>
        <v>-42.600381000000056</v>
      </c>
      <c r="G21" s="352">
        <f t="shared" si="0"/>
        <v>-294.53688181406983</v>
      </c>
      <c r="H21" s="351">
        <f>+[4]창원!$T$5/1000</f>
        <v>18</v>
      </c>
      <c r="I21" s="350">
        <f>+[4]창원!$U$5/1000</f>
        <v>7.5629999999999997</v>
      </c>
      <c r="J21" s="152">
        <f t="shared" si="1"/>
        <v>-10.437000000000001</v>
      </c>
      <c r="K21" s="349">
        <f>+[4]창원!$M$86/1000</f>
        <v>-185.38453717004333</v>
      </c>
      <c r="L21" s="351">
        <f>+[4]창원!$Q$85</f>
        <v>100100.25762066666</v>
      </c>
      <c r="M21" s="350">
        <f>+[4]창원!$R$85</f>
        <v>91304.60134867116</v>
      </c>
      <c r="N21" s="152">
        <f t="shared" si="2"/>
        <v>-8795.6562719954964</v>
      </c>
      <c r="O21" s="349">
        <f>+[4]창원!$K$86/1000</f>
        <v>-66.521548385101937</v>
      </c>
      <c r="P21" s="351">
        <f>+[4]창원!$Q$50</f>
        <v>82338.013951983783</v>
      </c>
      <c r="Q21" s="350">
        <f>+[4]창원!$R$50</f>
        <v>88766.457622636517</v>
      </c>
      <c r="R21" s="152">
        <f t="shared" si="3"/>
        <v>6428.443670652734</v>
      </c>
      <c r="S21" s="349">
        <f>+[4]창원!$L$56/1000</f>
        <v>-45.862854121146832</v>
      </c>
      <c r="T21" s="351">
        <f>+([4]창원!$H$80+[4]창원!$H$85)/1000</f>
        <v>67.783885222222224</v>
      </c>
      <c r="U21" s="350">
        <f>+([4]창원!$I$80+[4]창원!$I$85)/1000</f>
        <v>64.55182735999999</v>
      </c>
      <c r="V21" s="152">
        <f t="shared" si="4"/>
        <v>-3.2320578622222342</v>
      </c>
      <c r="W21" s="349">
        <f>+([4]창원!$L$80+[4]창원!$L$85)/1000</f>
        <v>3.2320578622222276</v>
      </c>
      <c r="Y21" s="6">
        <f t="shared" si="5"/>
        <v>4.2188474935755949E-14</v>
      </c>
      <c r="Z21" s="6">
        <f t="shared" si="6"/>
        <v>4.2188474935755949E-8</v>
      </c>
    </row>
    <row r="22" spans="4:26" ht="24" customHeight="1" x14ac:dyDescent="0.3">
      <c r="D22" s="354" t="s">
        <v>131</v>
      </c>
      <c r="E22" s="351">
        <f>+[4]대구!$H$86/1000</f>
        <v>112.899386292323</v>
      </c>
      <c r="F22" s="350">
        <f>+[4]대구!$I$86/1000</f>
        <v>-60.636871999999997</v>
      </c>
      <c r="G22" s="352">
        <f t="shared" si="0"/>
        <v>-173.536258292323</v>
      </c>
      <c r="H22" s="351">
        <f>+[4]대구!$T$5/1000</f>
        <v>12</v>
      </c>
      <c r="I22" s="350">
        <f>+[4]대구!$U$5/1000</f>
        <v>6.8789999999999996</v>
      </c>
      <c r="J22" s="152">
        <f t="shared" si="1"/>
        <v>-5.1210000000000004</v>
      </c>
      <c r="K22" s="349">
        <f>+[4]대구!$M$86/1000</f>
        <v>-70.714064907346156</v>
      </c>
      <c r="L22" s="351">
        <f>+[4]대구!$Q$85</f>
        <v>97252.640217391308</v>
      </c>
      <c r="M22" s="350">
        <f>+[4]대구!$R$85</f>
        <v>86391.624073266459</v>
      </c>
      <c r="N22" s="152">
        <f t="shared" si="2"/>
        <v>-10861.016144124849</v>
      </c>
      <c r="O22" s="349">
        <f>+[4]대구!$K$86/1000</f>
        <v>-74.712930055434839</v>
      </c>
      <c r="P22" s="351">
        <f>+[4]대구!$Q$50</f>
        <v>83443.996415917733</v>
      </c>
      <c r="Q22" s="350">
        <f>+[4]대구!$R$50</f>
        <v>88107.541067015569</v>
      </c>
      <c r="R22" s="152">
        <f t="shared" si="3"/>
        <v>4663.5446510978363</v>
      </c>
      <c r="S22" s="349">
        <f>+[4]대구!$L$56/1000</f>
        <v>-32.080534714901887</v>
      </c>
      <c r="T22" s="351">
        <f>+([4]대구!$H$80+[4]대구!$H$85)/1000</f>
        <v>52.804339325359791</v>
      </c>
      <c r="U22" s="350">
        <f>+([4]대구!$I$80+[4]대구!$I$85)/1000</f>
        <v>48.833067939999999</v>
      </c>
      <c r="V22" s="152">
        <f t="shared" si="4"/>
        <v>-3.9712713853597919</v>
      </c>
      <c r="W22" s="349">
        <f>+([4]대구!$L$80+[4]대구!$L$85)/1000</f>
        <v>3.9712713853597852</v>
      </c>
      <c r="Y22" s="6">
        <f t="shared" si="5"/>
        <v>9.9031893796563963E-14</v>
      </c>
      <c r="Z22" s="6">
        <f t="shared" si="6"/>
        <v>9.9031893796563963E-8</v>
      </c>
    </row>
    <row r="23" spans="4:26" ht="24" customHeight="1" x14ac:dyDescent="0.3">
      <c r="D23" s="354" t="s">
        <v>130</v>
      </c>
      <c r="E23" s="351">
        <f>+[4]울산!$H$86/1000</f>
        <v>135.82855026316662</v>
      </c>
      <c r="F23" s="350">
        <f>+[4]울산!$I$86/1000</f>
        <v>31.56500200000006</v>
      </c>
      <c r="G23" s="352">
        <f t="shared" si="0"/>
        <v>-104.26354826316656</v>
      </c>
      <c r="H23" s="351">
        <f>+[4]울산!$T$5/1000</f>
        <v>12.5</v>
      </c>
      <c r="I23" s="350">
        <f>+[4]울산!$U$5/1000</f>
        <v>8.5719999999999992</v>
      </c>
      <c r="J23" s="152">
        <f t="shared" si="1"/>
        <v>-3.9280000000000008</v>
      </c>
      <c r="K23" s="349">
        <f>+[4]울산!$M$86/1000</f>
        <v>-58.847049214238417</v>
      </c>
      <c r="L23" s="351">
        <f>+[4]울산!$Q$85</f>
        <v>104222.16</v>
      </c>
      <c r="M23" s="350">
        <f>+[4]울산!$R$85</f>
        <v>105926.67988800746</v>
      </c>
      <c r="N23" s="152">
        <f t="shared" si="2"/>
        <v>1704.5198880074604</v>
      </c>
      <c r="O23" s="349">
        <f>+[4]울산!$K$86/1000</f>
        <v>14.61114447999995</v>
      </c>
      <c r="P23" s="351">
        <f>+[4]울산!$Q$50</f>
        <v>89240.731992301822</v>
      </c>
      <c r="Q23" s="350">
        <f>+[4]울산!$R$50</f>
        <v>97251.868408772745</v>
      </c>
      <c r="R23" s="152">
        <f t="shared" si="3"/>
        <v>8011.136416470923</v>
      </c>
      <c r="S23" s="349">
        <f>+[4]울산!$L$56/1000</f>
        <v>-68.671465121988604</v>
      </c>
      <c r="T23" s="351">
        <f>+([4]울산!$H$80+[4]울산!$H$85)/1000</f>
        <v>51.439299833060502</v>
      </c>
      <c r="U23" s="350">
        <f>+([4]울산!$I$80+[4]울산!$I$85)/1000</f>
        <v>42.795478240000001</v>
      </c>
      <c r="V23" s="152">
        <f t="shared" si="4"/>
        <v>-8.6438215930605011</v>
      </c>
      <c r="W23" s="349">
        <f>+([4]울산!$L$80+[4]울산!$L$85)/1000</f>
        <v>8.6438215930605047</v>
      </c>
      <c r="Y23" s="6">
        <f t="shared" si="5"/>
        <v>0</v>
      </c>
      <c r="Z23" s="6">
        <f t="shared" si="6"/>
        <v>0</v>
      </c>
    </row>
    <row r="24" spans="4:26" ht="24" customHeight="1" x14ac:dyDescent="0.3">
      <c r="D24" s="360" t="s">
        <v>27</v>
      </c>
      <c r="E24" s="358">
        <f>+[4]아산!$H$86/1000</f>
        <v>281.7495244003332</v>
      </c>
      <c r="F24" s="357">
        <f>+[4]아산!$I$86/1000</f>
        <v>68.467207999999971</v>
      </c>
      <c r="G24" s="359">
        <f t="shared" si="0"/>
        <v>-213.28231640033323</v>
      </c>
      <c r="H24" s="358">
        <f>+[4]아산!$T$5/1000</f>
        <v>21</v>
      </c>
      <c r="I24" s="357">
        <f>+[4]아산!$U$5/1000</f>
        <v>20.895</v>
      </c>
      <c r="J24" s="356">
        <f t="shared" si="1"/>
        <v>-0.10500000000000043</v>
      </c>
      <c r="K24" s="355">
        <f>+[4]아산!$M$86/1000</f>
        <v>-1.8158754892238866</v>
      </c>
      <c r="L24" s="358">
        <f>+[4]아산!$Q$85</f>
        <v>103000</v>
      </c>
      <c r="M24" s="357">
        <f>+[4]아산!$R$85</f>
        <v>96241.63062933716</v>
      </c>
      <c r="N24" s="356">
        <f t="shared" si="2"/>
        <v>-6758.3693706628401</v>
      </c>
      <c r="O24" s="355">
        <f>+[4]아산!$K$86/1000</f>
        <v>-141.21612800000003</v>
      </c>
      <c r="P24" s="358">
        <f>+[4]아산!$Q$50</f>
        <v>85705.94772167725</v>
      </c>
      <c r="Q24" s="357">
        <f>+[4]아산!$R$50</f>
        <v>88875.273434888499</v>
      </c>
      <c r="R24" s="356">
        <f t="shared" si="3"/>
        <v>3169.3257132112485</v>
      </c>
      <c r="S24" s="355">
        <f>+[4]아산!$L$56/1000</f>
        <v>-66.244795495553618</v>
      </c>
      <c r="T24" s="358">
        <f>+([4]아산!$H$80+[4]아산!$H$85)/1000</f>
        <v>81.425573444444439</v>
      </c>
      <c r="U24" s="357">
        <f>+([4]아산!$I$80+[4]아산!$I$85)/1000</f>
        <v>85.431090859999998</v>
      </c>
      <c r="V24" s="356">
        <f t="shared" si="4"/>
        <v>4.0055174155555591</v>
      </c>
      <c r="W24" s="355">
        <f>+([4]아산!$L$80+[4]아산!$L$85)/1000</f>
        <v>-4.0055174155555626</v>
      </c>
      <c r="Y24" s="6">
        <f t="shared" si="5"/>
        <v>-1.3855583347321954E-13</v>
      </c>
      <c r="Z24" s="6">
        <f t="shared" si="6"/>
        <v>-1.3855583347321954E-7</v>
      </c>
    </row>
    <row r="25" spans="4:26" ht="24" customHeight="1" x14ac:dyDescent="0.3">
      <c r="D25" s="354" t="s">
        <v>129</v>
      </c>
      <c r="E25" s="351">
        <f>+[4]전주!$H$86/1000</f>
        <v>178.63194355114572</v>
      </c>
      <c r="F25" s="350">
        <f>+[4]전주!$I$86/1000</f>
        <v>116.34730200000004</v>
      </c>
      <c r="G25" s="352">
        <f t="shared" si="0"/>
        <v>-62.284641551145683</v>
      </c>
      <c r="H25" s="351">
        <f>+[4]전주!$T$5/1000</f>
        <v>12</v>
      </c>
      <c r="I25" s="350">
        <f>+[4]전주!$U$5/1000</f>
        <v>14.1595</v>
      </c>
      <c r="J25" s="152">
        <f t="shared" si="1"/>
        <v>2.1594999999999995</v>
      </c>
      <c r="K25" s="349">
        <f>+[4]전주!$M$86/1000</f>
        <v>41.23673248915086</v>
      </c>
      <c r="L25" s="351">
        <f>+[4]전주!$Q$85</f>
        <v>100827.57250000001</v>
      </c>
      <c r="M25" s="350">
        <f>+[4]전주!$R$85</f>
        <v>97258.448391539248</v>
      </c>
      <c r="N25" s="152">
        <f t="shared" si="2"/>
        <v>-3569.1241084607609</v>
      </c>
      <c r="O25" s="349">
        <f>+[4]전주!$K$86/1000</f>
        <v>-50.537012813750138</v>
      </c>
      <c r="P25" s="351">
        <f>+[4]전주!$Q$50</f>
        <v>81732.072389256384</v>
      </c>
      <c r="Q25" s="350">
        <f>+[4]전주!$R$50</f>
        <v>85538.730637712841</v>
      </c>
      <c r="R25" s="152">
        <f t="shared" si="3"/>
        <v>3806.6582484564569</v>
      </c>
      <c r="S25" s="349">
        <f>+[4]전주!$L$56/1000</f>
        <v>-53.879731944324064</v>
      </c>
      <c r="T25" s="351">
        <f>+([4]전주!$H$80+[4]전주!$H$85)/1000</f>
        <v>50.514057777777779</v>
      </c>
      <c r="U25" s="350">
        <f>+([4]전주!$I$80+[4]전주!$I$85)/1000</f>
        <v>49.618687059999999</v>
      </c>
      <c r="V25" s="152">
        <f t="shared" si="4"/>
        <v>-0.8953707177777801</v>
      </c>
      <c r="W25" s="349">
        <f>+([4]전주!$L$80+[4]전주!$L$85)/1000</f>
        <v>0.89537071777777233</v>
      </c>
      <c r="Y25" s="6">
        <f t="shared" si="5"/>
        <v>-1.0591527654923993E-13</v>
      </c>
      <c r="Z25" s="6">
        <f t="shared" si="6"/>
        <v>-1.0591527654923993E-7</v>
      </c>
    </row>
    <row r="26" spans="4:26" ht="24" customHeight="1" x14ac:dyDescent="0.3">
      <c r="D26" s="353" t="s">
        <v>128</v>
      </c>
      <c r="E26" s="351">
        <f>+[4]군산!$H$86/1000</f>
        <v>205.06835729126487</v>
      </c>
      <c r="F26" s="350">
        <f>+[4]군산!$I$86/1000</f>
        <v>39.536473999999991</v>
      </c>
      <c r="G26" s="352">
        <f t="shared" si="0"/>
        <v>-165.53188329126488</v>
      </c>
      <c r="H26" s="351">
        <f>+[4]군산!$T$5/1000</f>
        <v>7.5</v>
      </c>
      <c r="I26" s="350">
        <f>+[4]군산!$U$5/1000</f>
        <v>3.4525000000000001</v>
      </c>
      <c r="J26" s="152">
        <f t="shared" si="1"/>
        <v>-4.0474999999999994</v>
      </c>
      <c r="K26" s="349">
        <f>+[4]군산!$M$86/1000</f>
        <v>-122.91558827274142</v>
      </c>
      <c r="L26" s="351">
        <f>+[4]군산!$Q$85</f>
        <v>111047.17333333334</v>
      </c>
      <c r="M26" s="350">
        <f>+[4]군산!$R$85</f>
        <v>108100.42548877624</v>
      </c>
      <c r="N26" s="152">
        <f t="shared" si="2"/>
        <v>-2946.7478445571032</v>
      </c>
      <c r="O26" s="349">
        <f>+[4]군산!$K$86/1000</f>
        <v>-10.1736469333334</v>
      </c>
      <c r="P26" s="351">
        <f>+[4]군산!$Q$50</f>
        <v>80678.899516720252</v>
      </c>
      <c r="Q26" s="350">
        <f>+[4]군산!$R$50</f>
        <v>89691.439536567705</v>
      </c>
      <c r="R26" s="152">
        <f t="shared" si="3"/>
        <v>9012.5400198474526</v>
      </c>
      <c r="S26" s="349">
        <f>+[4]군산!$L$56/1000</f>
        <v>-31.115801678523294</v>
      </c>
      <c r="T26" s="351">
        <f>+([4]군산!$H$80+[4]군산!$H$85)/1000</f>
        <v>22.693696333333332</v>
      </c>
      <c r="U26" s="350">
        <f>+([4]군산!$I$80+[4]군산!$I$85)/1000</f>
        <v>24.020542739999996</v>
      </c>
      <c r="V26" s="152">
        <f t="shared" si="4"/>
        <v>1.3268464066666645</v>
      </c>
      <c r="W26" s="349">
        <f>+([4]군산!$L$80+[4]군산!$L$85)/1000</f>
        <v>-1.3268464066666661</v>
      </c>
      <c r="Y26" s="6">
        <f t="shared" si="5"/>
        <v>-9.7921670771938807E-14</v>
      </c>
      <c r="Z26" s="6">
        <f t="shared" si="6"/>
        <v>-9.7921670771938807E-8</v>
      </c>
    </row>
    <row r="27" spans="4:26" ht="24" customHeight="1" x14ac:dyDescent="0.3">
      <c r="D27" s="353" t="s">
        <v>127</v>
      </c>
      <c r="E27" s="351">
        <f>+[4]원주!$H$86/1000</f>
        <v>103.86534141562616</v>
      </c>
      <c r="F27" s="350">
        <f>+[4]원주!$I$86/1000</f>
        <v>85.403376999999978</v>
      </c>
      <c r="G27" s="352">
        <f t="shared" si="0"/>
        <v>-18.461964415626184</v>
      </c>
      <c r="H27" s="351">
        <f>+[4]원주!$T$5/1000</f>
        <v>5</v>
      </c>
      <c r="I27" s="350">
        <f>+[4]원주!$U$5/1000</f>
        <v>4.2949999999999999</v>
      </c>
      <c r="J27" s="152">
        <f t="shared" si="1"/>
        <v>-0.70500000000000007</v>
      </c>
      <c r="K27" s="349">
        <f>+[4]원주!$M$86/1000</f>
        <v>-17.118767586269954</v>
      </c>
      <c r="L27" s="351">
        <f>+[4]원주!$Q$85</f>
        <v>112000</v>
      </c>
      <c r="M27" s="350">
        <f>+[4]원주!$R$85</f>
        <v>110318.55646100116</v>
      </c>
      <c r="N27" s="152">
        <f t="shared" si="2"/>
        <v>-1681.4435389988357</v>
      </c>
      <c r="O27" s="349">
        <f>+[4]원주!$K$86/1000</f>
        <v>-7.2217999999999991</v>
      </c>
      <c r="P27" s="351">
        <f>+[4]원주!$Q$50</f>
        <v>87718.060161319227</v>
      </c>
      <c r="Q27" s="350">
        <f>+[4]원주!$R$50</f>
        <v>86875.731315483121</v>
      </c>
      <c r="R27" s="152">
        <f t="shared" si="3"/>
        <v>-842.32884583610576</v>
      </c>
      <c r="S27" s="349">
        <f>+[4]원주!$L$56/1000</f>
        <v>3.6177979028660108</v>
      </c>
      <c r="T27" s="351">
        <f>+([4]원주!$H$80+[4]원주!$H$85)/1000</f>
        <v>17.54435777777778</v>
      </c>
      <c r="U27" s="350">
        <f>+([4]원주!$I$80+[4]원주!$I$85)/1000</f>
        <v>15.283552510000002</v>
      </c>
      <c r="V27" s="152">
        <f t="shared" si="4"/>
        <v>-2.2608052677777781</v>
      </c>
      <c r="W27" s="349">
        <f>+([4]원주!$L$80+[4]원주!$L$85)/1000</f>
        <v>2.2608052677777777</v>
      </c>
      <c r="Y27" s="6">
        <f t="shared" si="5"/>
        <v>-1.9984014443252818E-14</v>
      </c>
      <c r="Z27" s="6">
        <f t="shared" si="6"/>
        <v>-1.9984014443252818E-8</v>
      </c>
    </row>
    <row r="28" spans="4:26" ht="24" customHeight="1" thickBot="1" x14ac:dyDescent="0.35">
      <c r="D28" s="348" t="s">
        <v>126</v>
      </c>
      <c r="E28" s="346">
        <f>+[4]제주!$H$86/1000</f>
        <v>150.10858815339208</v>
      </c>
      <c r="F28" s="345">
        <f>+[4]제주!$I$86/1000</f>
        <v>-10.04498800000002</v>
      </c>
      <c r="G28" s="347">
        <f t="shared" si="0"/>
        <v>-160.15357615339209</v>
      </c>
      <c r="H28" s="346">
        <f>+[4]제주!$T$5/1000</f>
        <v>8</v>
      </c>
      <c r="I28" s="345">
        <f>+[4]제주!$U$5/1000</f>
        <v>3.72</v>
      </c>
      <c r="J28" s="344">
        <f t="shared" si="1"/>
        <v>-4.2799999999999994</v>
      </c>
      <c r="K28" s="343">
        <f>+[4]제주!$M$86/1000</f>
        <v>-97.41465001142322</v>
      </c>
      <c r="L28" s="346">
        <f>+[4]제주!$Q$85</f>
        <v>122613.5</v>
      </c>
      <c r="M28" s="345">
        <f>+[4]제주!$R$85</f>
        <v>126350.89045643153</v>
      </c>
      <c r="N28" s="344">
        <f t="shared" si="2"/>
        <v>3737.3904564315308</v>
      </c>
      <c r="O28" s="343">
        <f>+[4]제주!$K$86/1000</f>
        <v>13.510666499999983</v>
      </c>
      <c r="P28" s="346">
        <f>+[4]제주!$Q$50</f>
        <v>100398.07240332423</v>
      </c>
      <c r="Q28" s="345">
        <f>+[4]제주!$R$50</f>
        <v>121092.47304395906</v>
      </c>
      <c r="R28" s="344">
        <f t="shared" si="3"/>
        <v>20694.400640634834</v>
      </c>
      <c r="S28" s="343">
        <f>+[4]제주!$L$56/1000</f>
        <v>-74.817730561982913</v>
      </c>
      <c r="T28" s="346">
        <f>+([4]제주!$H$80+[4]제주!$H$85)/1000</f>
        <v>27.614832620014095</v>
      </c>
      <c r="U28" s="345">
        <f>+([4]제주!$I$80+[4]제주!$I$85)/1000</f>
        <v>29.0466947</v>
      </c>
      <c r="V28" s="344">
        <f t="shared" si="4"/>
        <v>1.4318620799859048</v>
      </c>
      <c r="W28" s="343">
        <f>+([4]제주!$L$80+[4]제주!$L$85)/1000</f>
        <v>-1.4318620799859036</v>
      </c>
      <c r="Y28" s="6">
        <f t="shared" si="5"/>
        <v>-4.3742787170231168E-14</v>
      </c>
      <c r="Z28" s="6">
        <f t="shared" si="6"/>
        <v>-4.3742787170231168E-8</v>
      </c>
    </row>
    <row r="29" spans="4:26" ht="24" customHeight="1" x14ac:dyDescent="0.3">
      <c r="Y29" s="480"/>
    </row>
    <row r="30" spans="4:26" ht="24" customHeight="1" x14ac:dyDescent="0.3">
      <c r="Y30" s="480"/>
    </row>
    <row r="31" spans="4:26" ht="24" customHeight="1" x14ac:dyDescent="0.3">
      <c r="Y31" s="480"/>
    </row>
    <row r="32" spans="4:26" ht="21.95" customHeight="1" x14ac:dyDescent="0.3">
      <c r="F32" s="342"/>
      <c r="Y32" s="480"/>
    </row>
    <row r="33" spans="25:25" ht="21.95" customHeight="1" x14ac:dyDescent="0.3"/>
    <row r="34" spans="25:25" ht="21.95" customHeight="1" x14ac:dyDescent="0.3">
      <c r="Y34" s="481"/>
    </row>
    <row r="35" spans="25:25" ht="21.95" customHeight="1" x14ac:dyDescent="0.3">
      <c r="Y35" s="6" t="s">
        <v>161</v>
      </c>
    </row>
    <row r="36" spans="25:25" ht="21.95" customHeight="1" x14ac:dyDescent="0.3"/>
    <row r="37" spans="25:25" ht="21.95" customHeight="1" x14ac:dyDescent="0.3"/>
    <row r="38" spans="25:25" ht="21.95" customHeight="1" x14ac:dyDescent="0.3"/>
    <row r="39" spans="25:25" ht="21.95" customHeight="1" x14ac:dyDescent="0.3"/>
    <row r="40" spans="25:25" ht="21.95" customHeight="1" x14ac:dyDescent="0.3"/>
    <row r="41" spans="25:25" ht="21.95" customHeight="1" x14ac:dyDescent="0.3"/>
    <row r="42" spans="25:25" ht="21.95" customHeight="1" x14ac:dyDescent="0.3"/>
    <row r="43" spans="25:25" ht="21.95" customHeight="1" x14ac:dyDescent="0.3"/>
    <row r="44" spans="25:25" ht="21.95" customHeight="1" x14ac:dyDescent="0.3"/>
    <row r="45" spans="25:25" ht="21.95" customHeight="1" x14ac:dyDescent="0.3"/>
    <row r="46" spans="25:25" ht="21.95" customHeight="1" x14ac:dyDescent="0.3"/>
    <row r="47" spans="25:25" ht="21.95" customHeight="1" x14ac:dyDescent="0.3"/>
    <row r="48" spans="25:25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6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9EA2-7FA8-4EF3-8BE8-88EBED6DB771}">
  <sheetPr>
    <tabColor theme="1" tint="0.34998626667073579"/>
    <pageSetUpPr fitToPage="1"/>
  </sheetPr>
  <dimension ref="A1:V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activeCell="P31" sqref="P31"/>
      <selection pane="topRight" activeCell="P31" sqref="P31"/>
      <selection pane="bottomLeft" activeCell="P31" sqref="P31"/>
      <selection pane="bottomRight" activeCell="E8" sqref="E8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398" t="s">
        <v>219</v>
      </c>
      <c r="F4" s="398"/>
      <c r="I4" s="398"/>
    </row>
    <row r="5" spans="1:22" ht="21.95" customHeight="1" x14ac:dyDescent="0.3">
      <c r="V5" s="397" t="s">
        <v>146</v>
      </c>
    </row>
    <row r="6" spans="1:22" ht="24" customHeight="1" thickBot="1" x14ac:dyDescent="0.35">
      <c r="A6" s="6" t="s">
        <v>139</v>
      </c>
      <c r="D6" s="611" t="s">
        <v>11</v>
      </c>
      <c r="E6" s="396" t="s">
        <v>53</v>
      </c>
      <c r="F6" s="395"/>
      <c r="G6" s="394"/>
      <c r="H6" s="396" t="s">
        <v>145</v>
      </c>
      <c r="I6" s="395"/>
      <c r="J6" s="394"/>
      <c r="K6" s="396" t="s">
        <v>144</v>
      </c>
      <c r="L6" s="395"/>
      <c r="M6" s="394"/>
      <c r="N6" s="396" t="s">
        <v>143</v>
      </c>
      <c r="O6" s="395"/>
      <c r="P6" s="394"/>
      <c r="Q6" s="396" t="s">
        <v>142</v>
      </c>
      <c r="R6" s="395"/>
      <c r="S6" s="394"/>
      <c r="T6" s="396" t="s">
        <v>54</v>
      </c>
      <c r="U6" s="395"/>
      <c r="V6" s="394"/>
    </row>
    <row r="7" spans="1:22" ht="24" customHeight="1" x14ac:dyDescent="0.3">
      <c r="D7" s="612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 x14ac:dyDescent="0.3">
      <c r="D8" s="388" t="s">
        <v>141</v>
      </c>
      <c r="E8" s="386">
        <f>+[4]합계!$Q$85</f>
        <v>101693.23366841172</v>
      </c>
      <c r="F8" s="385">
        <f>+[4]합계!$R$85</f>
        <v>98207.724138894569</v>
      </c>
      <c r="G8" s="416">
        <f t="shared" ref="G8:G28" si="0">+F8-E8</f>
        <v>-3485.5095295171486</v>
      </c>
      <c r="H8" s="386">
        <f>+[4]합계!$Q$20</f>
        <v>60524.662273837093</v>
      </c>
      <c r="I8" s="385">
        <f>+[4]합계!$R$20</f>
        <v>61242.149152195358</v>
      </c>
      <c r="J8" s="416">
        <f t="shared" ref="J8:J28" si="1">+I8-H8</f>
        <v>717.48687835826422</v>
      </c>
      <c r="K8" s="386">
        <f>+[4]합계!$Q$21</f>
        <v>18779.575702363923</v>
      </c>
      <c r="L8" s="385">
        <f>+[4]합계!$R$21</f>
        <v>19557.272586409072</v>
      </c>
      <c r="M8" s="416">
        <f t="shared" ref="M8:M28" si="2">+L8-K8</f>
        <v>777.69688404514818</v>
      </c>
      <c r="N8" s="386">
        <f>+[4]합계!$Q$22</f>
        <v>217.39130434782609</v>
      </c>
      <c r="O8" s="385">
        <f>+[4]합계!$R$22</f>
        <v>222.60755765257701</v>
      </c>
      <c r="P8" s="416">
        <f t="shared" ref="P8:P28" si="3">+O8-N8</f>
        <v>5.2162533047509214</v>
      </c>
      <c r="Q8" s="386">
        <f t="shared" ref="Q8:Q28" si="4">H8+K8+N8</f>
        <v>79521.629280548848</v>
      </c>
      <c r="R8" s="385">
        <f t="shared" ref="R8:R28" si="5">I8+L8+O8</f>
        <v>81022.029296257009</v>
      </c>
      <c r="S8" s="416">
        <f t="shared" ref="S8:S28" si="6">+R8-Q8</f>
        <v>1500.4000157081609</v>
      </c>
      <c r="T8" s="386">
        <f t="shared" ref="T8:T28" si="7">+E8-Q8</f>
        <v>22171.60438786287</v>
      </c>
      <c r="U8" s="385">
        <f t="shared" ref="U8:U28" si="8">+F8-R8</f>
        <v>17185.69484263756</v>
      </c>
      <c r="V8" s="416">
        <f t="shared" ref="V8:V28" si="9">+U8-T8</f>
        <v>-4985.9095452253096</v>
      </c>
    </row>
    <row r="9" spans="1:22" ht="24" customHeight="1" x14ac:dyDescent="0.3">
      <c r="D9" s="382" t="s">
        <v>16</v>
      </c>
      <c r="E9" s="381">
        <f>+[4]수도권!$Q$85</f>
        <v>100069.31703271811</v>
      </c>
      <c r="F9" s="380">
        <f>+[4]수도권!$R$85</f>
        <v>94672.854300716004</v>
      </c>
      <c r="G9" s="415">
        <f t="shared" si="0"/>
        <v>-5396.46273200211</v>
      </c>
      <c r="H9" s="381">
        <f>+[4]수도권!$Q$20</f>
        <v>62349.264485905602</v>
      </c>
      <c r="I9" s="380">
        <f>+[4]수도권!$R$20</f>
        <v>61555.069577219328</v>
      </c>
      <c r="J9" s="415">
        <f t="shared" si="1"/>
        <v>-794.19490868627327</v>
      </c>
      <c r="K9" s="381">
        <f>+[4]수도권!$Q$21</f>
        <v>18702.268037196725</v>
      </c>
      <c r="L9" s="380">
        <f>+[4]수도권!$R$21</f>
        <v>19096.671220765671</v>
      </c>
      <c r="M9" s="415">
        <f t="shared" si="2"/>
        <v>394.40318356894568</v>
      </c>
      <c r="N9" s="381">
        <f>+[4]수도권!$Q$22</f>
        <v>268.4375</v>
      </c>
      <c r="O9" s="380">
        <f>+[4]수도권!$R$22</f>
        <v>212.6589832147105</v>
      </c>
      <c r="P9" s="415">
        <f t="shared" si="3"/>
        <v>-55.778516785289497</v>
      </c>
      <c r="Q9" s="381">
        <f t="shared" si="4"/>
        <v>81319.970023102331</v>
      </c>
      <c r="R9" s="380">
        <f t="shared" si="5"/>
        <v>80864.399781199711</v>
      </c>
      <c r="S9" s="415">
        <f t="shared" si="6"/>
        <v>-455.57024190262018</v>
      </c>
      <c r="T9" s="381">
        <f t="shared" si="7"/>
        <v>18749.347009615783</v>
      </c>
      <c r="U9" s="380">
        <f t="shared" si="8"/>
        <v>13808.454519516294</v>
      </c>
      <c r="V9" s="415">
        <f t="shared" si="9"/>
        <v>-4940.8924900994898</v>
      </c>
    </row>
    <row r="10" spans="1:22" ht="24" customHeight="1" x14ac:dyDescent="0.3">
      <c r="D10" s="377" t="s">
        <v>17</v>
      </c>
      <c r="E10" s="376">
        <f>+[4]영남권!$Q$85</f>
        <v>100505.81333866165</v>
      </c>
      <c r="F10" s="375">
        <f>+[4]영남권!$R$85</f>
        <v>99815.877095532327</v>
      </c>
      <c r="G10" s="414">
        <f t="shared" si="0"/>
        <v>-689.93624312932661</v>
      </c>
      <c r="H10" s="376">
        <f>+[4]영남권!$Q$20</f>
        <v>59422.315604792544</v>
      </c>
      <c r="I10" s="375">
        <f>+[4]영남권!$R$20</f>
        <v>61216.918888523913</v>
      </c>
      <c r="J10" s="414">
        <f t="shared" si="1"/>
        <v>1794.6032837313687</v>
      </c>
      <c r="K10" s="376">
        <f>+[4]영남권!$Q$21</f>
        <v>19312.189630023186</v>
      </c>
      <c r="L10" s="375">
        <f>+[4]영남권!$R$21</f>
        <v>20276.576348563889</v>
      </c>
      <c r="M10" s="414">
        <f t="shared" si="2"/>
        <v>964.38671854070344</v>
      </c>
      <c r="N10" s="376">
        <f>+[4]영남권!$Q$22</f>
        <v>192.72727272727272</v>
      </c>
      <c r="O10" s="375">
        <f>+[4]영남권!$R$22</f>
        <v>221.31271538885514</v>
      </c>
      <c r="P10" s="414">
        <f t="shared" si="3"/>
        <v>28.58544266158242</v>
      </c>
      <c r="Q10" s="376">
        <f t="shared" si="4"/>
        <v>78927.232507543013</v>
      </c>
      <c r="R10" s="375">
        <f t="shared" si="5"/>
        <v>81714.807952476651</v>
      </c>
      <c r="S10" s="414">
        <f t="shared" si="6"/>
        <v>2787.5754449336382</v>
      </c>
      <c r="T10" s="376">
        <f t="shared" si="7"/>
        <v>21578.580831118641</v>
      </c>
      <c r="U10" s="375">
        <f t="shared" si="8"/>
        <v>18101.069143055676</v>
      </c>
      <c r="V10" s="414">
        <f t="shared" si="9"/>
        <v>-3477.5116880629648</v>
      </c>
    </row>
    <row r="11" spans="1:22" ht="24" customHeight="1" x14ac:dyDescent="0.3">
      <c r="D11" s="372" t="s">
        <v>132</v>
      </c>
      <c r="E11" s="371">
        <f>+[4]중부권!$Q$85</f>
        <v>107414.81626168225</v>
      </c>
      <c r="F11" s="370">
        <f>+[4]중부권!$R$85</f>
        <v>101081.35510696511</v>
      </c>
      <c r="G11" s="413">
        <f t="shared" si="0"/>
        <v>-6333.4611547171371</v>
      </c>
      <c r="H11" s="371">
        <f>+[4]중부권!$Q$20</f>
        <v>59857.092951884923</v>
      </c>
      <c r="I11" s="370">
        <f>+[4]중부권!$R$20</f>
        <v>60761.757254404263</v>
      </c>
      <c r="J11" s="413">
        <f t="shared" si="1"/>
        <v>904.66430251934071</v>
      </c>
      <c r="K11" s="371">
        <f>+[4]중부권!$Q$21</f>
        <v>17658.93783333879</v>
      </c>
      <c r="L11" s="370">
        <f>+[4]중부권!$R$21</f>
        <v>18946.558476198672</v>
      </c>
      <c r="M11" s="413">
        <f t="shared" si="2"/>
        <v>1287.6206428598816</v>
      </c>
      <c r="N11" s="371">
        <f>+[4]중부권!$Q$22</f>
        <v>184.11214953271028</v>
      </c>
      <c r="O11" s="370">
        <f>+[4]중부권!$R$22</f>
        <v>241.93148916948095</v>
      </c>
      <c r="P11" s="413">
        <f t="shared" si="3"/>
        <v>57.819339636770678</v>
      </c>
      <c r="Q11" s="371">
        <f t="shared" si="4"/>
        <v>77700.142934756426</v>
      </c>
      <c r="R11" s="370">
        <f t="shared" si="5"/>
        <v>79950.247219772413</v>
      </c>
      <c r="S11" s="413">
        <f t="shared" si="6"/>
        <v>2250.1042850159865</v>
      </c>
      <c r="T11" s="371">
        <f t="shared" si="7"/>
        <v>29714.673326925826</v>
      </c>
      <c r="U11" s="370">
        <f t="shared" si="8"/>
        <v>21131.107887192702</v>
      </c>
      <c r="V11" s="413">
        <f t="shared" si="9"/>
        <v>-8583.5654397331236</v>
      </c>
    </row>
    <row r="12" spans="1:22" ht="24" customHeight="1" x14ac:dyDescent="0.3">
      <c r="D12" s="412" t="s">
        <v>18</v>
      </c>
      <c r="E12" s="411">
        <f>+[4]안양!$Q$85</f>
        <v>101770.10057142859</v>
      </c>
      <c r="F12" s="410">
        <f>+[4]안양!$R$85</f>
        <v>97656.963565544109</v>
      </c>
      <c r="G12" s="409">
        <f t="shared" si="0"/>
        <v>-4113.1370058844768</v>
      </c>
      <c r="H12" s="411">
        <f>+[4]안양!$Q$20</f>
        <v>63444.505806451612</v>
      </c>
      <c r="I12" s="410">
        <f>+[4]안양!$R$20</f>
        <v>59952.901421539937</v>
      </c>
      <c r="J12" s="409">
        <f t="shared" si="1"/>
        <v>-3491.6043849116759</v>
      </c>
      <c r="K12" s="411">
        <f>+[4]안양!$Q$21</f>
        <v>17938.713030075189</v>
      </c>
      <c r="L12" s="410">
        <f>+[4]안양!$R$21</f>
        <v>18786.323856400373</v>
      </c>
      <c r="M12" s="409">
        <f t="shared" si="2"/>
        <v>847.61082632518446</v>
      </c>
      <c r="N12" s="411">
        <f>+[4]안양!$Q$22</f>
        <v>228.57142857142856</v>
      </c>
      <c r="O12" s="410">
        <f>+[4]안양!$R$22</f>
        <v>178.78886861941967</v>
      </c>
      <c r="P12" s="409">
        <f t="shared" si="3"/>
        <v>-49.782559952008882</v>
      </c>
      <c r="Q12" s="411">
        <f t="shared" si="4"/>
        <v>81611.790265098229</v>
      </c>
      <c r="R12" s="410">
        <f t="shared" si="5"/>
        <v>78918.014146559726</v>
      </c>
      <c r="S12" s="409">
        <f t="shared" si="6"/>
        <v>-2693.7761185385025</v>
      </c>
      <c r="T12" s="411">
        <f t="shared" si="7"/>
        <v>20158.310306330357</v>
      </c>
      <c r="U12" s="410">
        <f t="shared" si="8"/>
        <v>18738.949418984383</v>
      </c>
      <c r="V12" s="409">
        <f t="shared" si="9"/>
        <v>-1419.3608873459743</v>
      </c>
    </row>
    <row r="13" spans="1:22" ht="24" customHeight="1" x14ac:dyDescent="0.3">
      <c r="D13" s="353" t="s">
        <v>19</v>
      </c>
      <c r="E13" s="404">
        <f>+[4]인천!$Q$85</f>
        <v>103615.12376695918</v>
      </c>
      <c r="F13" s="403">
        <f>+[4]인천!$R$85</f>
        <v>92880.485454614594</v>
      </c>
      <c r="G13" s="402">
        <f t="shared" si="0"/>
        <v>-10734.638312344585</v>
      </c>
      <c r="H13" s="404">
        <f>+[4]인천!$Q$20</f>
        <v>64305.6799953765</v>
      </c>
      <c r="I13" s="403">
        <f>+[4]인천!$R$20</f>
        <v>65040.842869634638</v>
      </c>
      <c r="J13" s="402">
        <f t="shared" si="1"/>
        <v>735.16287425813789</v>
      </c>
      <c r="K13" s="404">
        <f>+[4]인천!$Q$21</f>
        <v>18372.165457309013</v>
      </c>
      <c r="L13" s="403">
        <f>+[4]인천!$R$21</f>
        <v>19349.208379272328</v>
      </c>
      <c r="M13" s="402">
        <f t="shared" si="2"/>
        <v>977.04292196331517</v>
      </c>
      <c r="N13" s="404">
        <f>+[4]인천!$Q$22</f>
        <v>461.53846153846155</v>
      </c>
      <c r="O13" s="403">
        <f>+[4]인천!$R$22</f>
        <v>306.24932517203365</v>
      </c>
      <c r="P13" s="402">
        <f t="shared" si="3"/>
        <v>-155.2891363664279</v>
      </c>
      <c r="Q13" s="404">
        <f t="shared" si="4"/>
        <v>83139.383914223989</v>
      </c>
      <c r="R13" s="403">
        <f t="shared" si="5"/>
        <v>84696.300574078996</v>
      </c>
      <c r="S13" s="402">
        <f t="shared" si="6"/>
        <v>1556.9166598550073</v>
      </c>
      <c r="T13" s="404">
        <f t="shared" si="7"/>
        <v>20475.739852735191</v>
      </c>
      <c r="U13" s="403">
        <f t="shared" si="8"/>
        <v>8184.1848805355985</v>
      </c>
      <c r="V13" s="402">
        <f t="shared" si="9"/>
        <v>-12291.554972199592</v>
      </c>
    </row>
    <row r="14" spans="1:22" ht="24" customHeight="1" x14ac:dyDescent="0.3">
      <c r="D14" s="353" t="s">
        <v>20</v>
      </c>
      <c r="E14" s="404">
        <f>+[4]파주!$Q$85</f>
        <v>96205.726057142849</v>
      </c>
      <c r="F14" s="403">
        <f>+[4]파주!$R$85</f>
        <v>90400.804482114632</v>
      </c>
      <c r="G14" s="402">
        <f t="shared" si="0"/>
        <v>-5804.9215750282165</v>
      </c>
      <c r="H14" s="404">
        <f>+[4]파주!$Q$20</f>
        <v>60730.240138760877</v>
      </c>
      <c r="I14" s="403">
        <f>+[4]파주!$R$20</f>
        <v>59744.12993822727</v>
      </c>
      <c r="J14" s="402">
        <f t="shared" si="1"/>
        <v>-986.11020053360699</v>
      </c>
      <c r="K14" s="404">
        <f>+[4]파주!$Q$21</f>
        <v>20492.89879432624</v>
      </c>
      <c r="L14" s="403">
        <f>+[4]파주!$R$21</f>
        <v>19548.480821721019</v>
      </c>
      <c r="M14" s="402">
        <f t="shared" si="2"/>
        <v>-944.41797260522071</v>
      </c>
      <c r="N14" s="404">
        <f>+[4]파주!$Q$22</f>
        <v>231.42857142857142</v>
      </c>
      <c r="O14" s="403">
        <f>+[4]파주!$R$22</f>
        <v>194.09251544318346</v>
      </c>
      <c r="P14" s="402">
        <f t="shared" si="3"/>
        <v>-37.336055985387958</v>
      </c>
      <c r="Q14" s="404">
        <f t="shared" si="4"/>
        <v>81454.567504515682</v>
      </c>
      <c r="R14" s="403">
        <f t="shared" si="5"/>
        <v>79486.703275391483</v>
      </c>
      <c r="S14" s="402">
        <f t="shared" si="6"/>
        <v>-1967.8642291241995</v>
      </c>
      <c r="T14" s="404">
        <f t="shared" si="7"/>
        <v>14751.158552627167</v>
      </c>
      <c r="U14" s="403">
        <f t="shared" si="8"/>
        <v>10914.10120672315</v>
      </c>
      <c r="V14" s="402">
        <f t="shared" si="9"/>
        <v>-3837.057345904017</v>
      </c>
    </row>
    <row r="15" spans="1:22" ht="24" customHeight="1" x14ac:dyDescent="0.3">
      <c r="D15" s="353" t="s">
        <v>108</v>
      </c>
      <c r="E15" s="404">
        <f>+[4]김포!$Q$85</f>
        <v>95027.675000000003</v>
      </c>
      <c r="F15" s="403">
        <f>+[4]김포!$R$85</f>
        <v>96819.911063487802</v>
      </c>
      <c r="G15" s="402">
        <f t="shared" si="0"/>
        <v>1792.2360634877987</v>
      </c>
      <c r="H15" s="404">
        <f>+[4]김포!$Q$20</f>
        <v>58406.354616240264</v>
      </c>
      <c r="I15" s="403">
        <f>+[4]김포!$R$20</f>
        <v>59419.885882668088</v>
      </c>
      <c r="J15" s="402">
        <f t="shared" si="1"/>
        <v>1013.5312664278244</v>
      </c>
      <c r="K15" s="404">
        <f>+[4]김포!$Q$21</f>
        <v>18538.257067669176</v>
      </c>
      <c r="L15" s="403">
        <f>+[4]김포!$R$21</f>
        <v>18677.056308598982</v>
      </c>
      <c r="M15" s="402">
        <f t="shared" si="2"/>
        <v>138.79924092980582</v>
      </c>
      <c r="N15" s="404">
        <f>+[4]김포!$Q$22</f>
        <v>65</v>
      </c>
      <c r="O15" s="403">
        <f>+[4]김포!$R$22</f>
        <v>82.019180283953929</v>
      </c>
      <c r="P15" s="402">
        <f t="shared" si="3"/>
        <v>17.019180283953929</v>
      </c>
      <c r="Q15" s="404">
        <f t="shared" si="4"/>
        <v>77009.611683909432</v>
      </c>
      <c r="R15" s="403">
        <f t="shared" si="5"/>
        <v>78178.96137155102</v>
      </c>
      <c r="S15" s="402">
        <f t="shared" si="6"/>
        <v>1169.3496876415884</v>
      </c>
      <c r="T15" s="404">
        <f t="shared" si="7"/>
        <v>18018.063316090571</v>
      </c>
      <c r="U15" s="403">
        <f t="shared" si="8"/>
        <v>18640.949691936781</v>
      </c>
      <c r="V15" s="402">
        <f t="shared" si="9"/>
        <v>622.88637584621029</v>
      </c>
    </row>
    <row r="16" spans="1:22" ht="24" customHeight="1" x14ac:dyDescent="0.3">
      <c r="D16" s="408" t="s">
        <v>21</v>
      </c>
      <c r="E16" s="407">
        <f>+[4]부산!$Q$85</f>
        <v>107700.02044000001</v>
      </c>
      <c r="F16" s="406">
        <f>+[4]부산!$R$85</f>
        <v>109652.3317524842</v>
      </c>
      <c r="G16" s="405">
        <f t="shared" si="0"/>
        <v>1952.3113124841911</v>
      </c>
      <c r="H16" s="407">
        <f>+[4]부산!$Q$20</f>
        <v>64544.356643287691</v>
      </c>
      <c r="I16" s="406">
        <f>+[4]부산!$R$20</f>
        <v>66014.454098916001</v>
      </c>
      <c r="J16" s="405">
        <f t="shared" si="1"/>
        <v>1470.0974556283109</v>
      </c>
      <c r="K16" s="407">
        <f>+[4]부산!$Q$21</f>
        <v>20708.466461988301</v>
      </c>
      <c r="L16" s="406">
        <f>+[4]부산!$R$21</f>
        <v>22801.685467479674</v>
      </c>
      <c r="M16" s="405">
        <f t="shared" si="2"/>
        <v>2093.2190054913735</v>
      </c>
      <c r="N16" s="407">
        <f>+[4]부산!$Q$22</f>
        <v>105.26315789473684</v>
      </c>
      <c r="O16" s="406">
        <f>+[4]부산!$R$22</f>
        <v>0</v>
      </c>
      <c r="P16" s="405">
        <f t="shared" si="3"/>
        <v>-105.26315789473684</v>
      </c>
      <c r="Q16" s="407">
        <f t="shared" si="4"/>
        <v>85358.086263170728</v>
      </c>
      <c r="R16" s="406">
        <f t="shared" si="5"/>
        <v>88816.139566395679</v>
      </c>
      <c r="S16" s="405">
        <f t="shared" si="6"/>
        <v>3458.0533032249514</v>
      </c>
      <c r="T16" s="407">
        <f t="shared" si="7"/>
        <v>22341.93417682928</v>
      </c>
      <c r="U16" s="406">
        <f t="shared" si="8"/>
        <v>20836.19218608852</v>
      </c>
      <c r="V16" s="405">
        <f t="shared" si="9"/>
        <v>-1505.7419907407602</v>
      </c>
    </row>
    <row r="17" spans="4:22" ht="24" customHeight="1" x14ac:dyDescent="0.3">
      <c r="D17" s="353" t="s">
        <v>22</v>
      </c>
      <c r="E17" s="404">
        <f>+[4]서부산!$Q$85</f>
        <v>99300.385473684262</v>
      </c>
      <c r="F17" s="403">
        <f>+[4]서부산!$R$85</f>
        <v>99253.367371748114</v>
      </c>
      <c r="G17" s="402">
        <f t="shared" si="0"/>
        <v>-47.018101936148014</v>
      </c>
      <c r="H17" s="404">
        <f>+[4]서부산!$Q$20</f>
        <v>60198.615151515151</v>
      </c>
      <c r="I17" s="403">
        <f>+[4]서부산!$R$20</f>
        <v>61578.818115696064</v>
      </c>
      <c r="J17" s="402">
        <f t="shared" si="1"/>
        <v>1380.2029641809131</v>
      </c>
      <c r="K17" s="404">
        <f>+[4]서부산!$Q$21</f>
        <v>17694.931493271644</v>
      </c>
      <c r="L17" s="403">
        <f>+[4]서부산!$R$21</f>
        <v>17298.210202201426</v>
      </c>
      <c r="M17" s="402">
        <f t="shared" si="2"/>
        <v>-396.72129107021829</v>
      </c>
      <c r="N17" s="404">
        <f>+[4]서부산!$Q$22</f>
        <v>157.89473684210526</v>
      </c>
      <c r="O17" s="403">
        <f>+[4]서부산!$R$22</f>
        <v>190.69664937206034</v>
      </c>
      <c r="P17" s="402">
        <f t="shared" si="3"/>
        <v>32.801912529955075</v>
      </c>
      <c r="Q17" s="404">
        <f t="shared" si="4"/>
        <v>78051.441381628902</v>
      </c>
      <c r="R17" s="403">
        <f t="shared" si="5"/>
        <v>79067.724967269547</v>
      </c>
      <c r="S17" s="402">
        <f t="shared" si="6"/>
        <v>1016.2835856406455</v>
      </c>
      <c r="T17" s="404">
        <f t="shared" si="7"/>
        <v>21248.944092055361</v>
      </c>
      <c r="U17" s="403">
        <f t="shared" si="8"/>
        <v>20185.642404478567</v>
      </c>
      <c r="V17" s="402">
        <f t="shared" si="9"/>
        <v>-1063.3016875767935</v>
      </c>
    </row>
    <row r="18" spans="4:22" ht="24" customHeight="1" x14ac:dyDescent="0.3">
      <c r="D18" s="353" t="s">
        <v>23</v>
      </c>
      <c r="E18" s="404">
        <f>+[4]김해!$Q$85</f>
        <v>96299.793749999997</v>
      </c>
      <c r="F18" s="403">
        <f>+[4]김해!$R$85</f>
        <v>96519.046158564641</v>
      </c>
      <c r="G18" s="402">
        <f t="shared" si="0"/>
        <v>219.2524085646437</v>
      </c>
      <c r="H18" s="404">
        <f>+[4]김해!$Q$20</f>
        <v>56956.714430693515</v>
      </c>
      <c r="I18" s="403">
        <f>+[4]김해!$R$20</f>
        <v>58303.127894494712</v>
      </c>
      <c r="J18" s="402">
        <f t="shared" si="1"/>
        <v>1346.4134638011965</v>
      </c>
      <c r="K18" s="404">
        <f>+[4]김해!$Q$21</f>
        <v>20302.071092836261</v>
      </c>
      <c r="L18" s="403">
        <f>+[4]김해!$R$21</f>
        <v>22018.099677963502</v>
      </c>
      <c r="M18" s="402">
        <f t="shared" si="2"/>
        <v>1716.028585127242</v>
      </c>
      <c r="N18" s="404">
        <f>+[4]김해!$Q$22</f>
        <v>325</v>
      </c>
      <c r="O18" s="403">
        <f>+[4]김해!$R$22</f>
        <v>652.52905996012873</v>
      </c>
      <c r="P18" s="402">
        <f t="shared" si="3"/>
        <v>327.52905996012873</v>
      </c>
      <c r="Q18" s="404">
        <f t="shared" si="4"/>
        <v>77583.785523529776</v>
      </c>
      <c r="R18" s="403">
        <f t="shared" si="5"/>
        <v>80973.756632418343</v>
      </c>
      <c r="S18" s="402">
        <f t="shared" si="6"/>
        <v>3389.971108888567</v>
      </c>
      <c r="T18" s="404">
        <f t="shared" si="7"/>
        <v>18716.008226470221</v>
      </c>
      <c r="U18" s="403">
        <f t="shared" si="8"/>
        <v>15545.289526146298</v>
      </c>
      <c r="V18" s="402">
        <f t="shared" si="9"/>
        <v>-3170.7187003239233</v>
      </c>
    </row>
    <row r="19" spans="4:22" ht="24" customHeight="1" x14ac:dyDescent="0.3">
      <c r="D19" s="353" t="s">
        <v>24</v>
      </c>
      <c r="E19" s="404">
        <f>+[4]정관!$Q$85</f>
        <v>102000.42528888889</v>
      </c>
      <c r="F19" s="403">
        <f>+[4]정관!$R$85</f>
        <v>99560.758691037408</v>
      </c>
      <c r="G19" s="402">
        <f t="shared" si="0"/>
        <v>-2439.6665978514793</v>
      </c>
      <c r="H19" s="404">
        <f>+[4]정관!$Q$20</f>
        <v>62708.074663120176</v>
      </c>
      <c r="I19" s="403">
        <f>+[4]정관!$R$20</f>
        <v>64683.293427035955</v>
      </c>
      <c r="J19" s="402">
        <f t="shared" si="1"/>
        <v>1975.2187639157783</v>
      </c>
      <c r="K19" s="404">
        <f>+[4]정관!$Q$21</f>
        <v>19615.744999999999</v>
      </c>
      <c r="L19" s="403">
        <f>+[4]정관!$R$21</f>
        <v>18856.033347113134</v>
      </c>
      <c r="M19" s="402">
        <f t="shared" si="2"/>
        <v>-759.71165288686461</v>
      </c>
      <c r="N19" s="404">
        <f>+[4]정관!$Q$22</f>
        <v>222.2222222222222</v>
      </c>
      <c r="O19" s="403">
        <f>+[4]정관!$R$22</f>
        <v>294.54562491387628</v>
      </c>
      <c r="P19" s="402">
        <f t="shared" si="3"/>
        <v>72.323402691654081</v>
      </c>
      <c r="Q19" s="404">
        <f t="shared" si="4"/>
        <v>82546.041885342391</v>
      </c>
      <c r="R19" s="403">
        <f t="shared" si="5"/>
        <v>83833.872399062966</v>
      </c>
      <c r="S19" s="402">
        <f t="shared" si="6"/>
        <v>1287.8305137205753</v>
      </c>
      <c r="T19" s="404">
        <f t="shared" si="7"/>
        <v>19454.383403546497</v>
      </c>
      <c r="U19" s="403">
        <f t="shared" si="8"/>
        <v>15726.886291974442</v>
      </c>
      <c r="V19" s="402">
        <f t="shared" si="9"/>
        <v>-3727.4971115720546</v>
      </c>
    </row>
    <row r="20" spans="4:22" ht="24" customHeight="1" x14ac:dyDescent="0.3">
      <c r="D20" s="353" t="s">
        <v>25</v>
      </c>
      <c r="E20" s="404">
        <f>+[4]양산!$Q$85</f>
        <v>94380</v>
      </c>
      <c r="F20" s="403">
        <f>+[4]양산!$R$85</f>
        <v>91334.5100105374</v>
      </c>
      <c r="G20" s="402">
        <f t="shared" si="0"/>
        <v>-3045.4899894625996</v>
      </c>
      <c r="H20" s="404">
        <f>+[4]양산!$Q$20</f>
        <v>54930.031939628127</v>
      </c>
      <c r="I20" s="403">
        <f>+[4]양산!$R$20</f>
        <v>51544.82982086407</v>
      </c>
      <c r="J20" s="402">
        <f t="shared" si="1"/>
        <v>-3385.2021187640566</v>
      </c>
      <c r="K20" s="404">
        <f>+[4]양산!$Q$21</f>
        <v>18437.427997076025</v>
      </c>
      <c r="L20" s="403">
        <f>+[4]양산!$R$21</f>
        <v>25091.221285563752</v>
      </c>
      <c r="M20" s="402">
        <f t="shared" si="2"/>
        <v>6653.7932884877264</v>
      </c>
      <c r="N20" s="404">
        <f>+[4]양산!$Q$22</f>
        <v>66.666666666666671</v>
      </c>
      <c r="O20" s="403">
        <f>+[4]양산!$R$22</f>
        <v>93.415437302423598</v>
      </c>
      <c r="P20" s="402">
        <f t="shared" si="3"/>
        <v>26.748770635756927</v>
      </c>
      <c r="Q20" s="404">
        <f t="shared" si="4"/>
        <v>73434.126603370823</v>
      </c>
      <c r="R20" s="403">
        <f t="shared" si="5"/>
        <v>76729.466543730246</v>
      </c>
      <c r="S20" s="402">
        <f t="shared" si="6"/>
        <v>3295.3399403594231</v>
      </c>
      <c r="T20" s="404">
        <f t="shared" si="7"/>
        <v>20945.873396629177</v>
      </c>
      <c r="U20" s="403">
        <f t="shared" si="8"/>
        <v>14605.043466807154</v>
      </c>
      <c r="V20" s="402">
        <f t="shared" si="9"/>
        <v>-6340.8299298220227</v>
      </c>
    </row>
    <row r="21" spans="4:22" ht="24" customHeight="1" x14ac:dyDescent="0.3">
      <c r="D21" s="353" t="s">
        <v>26</v>
      </c>
      <c r="E21" s="404">
        <f>+[4]창원!$Q$85</f>
        <v>100100.25762066666</v>
      </c>
      <c r="F21" s="403">
        <f>+[4]창원!$R$85</f>
        <v>91304.60134867116</v>
      </c>
      <c r="G21" s="402">
        <f t="shared" si="0"/>
        <v>-8795.6562719954964</v>
      </c>
      <c r="H21" s="404">
        <f>+[4]창원!$Q$20</f>
        <v>57597.374694104554</v>
      </c>
      <c r="I21" s="403">
        <f>+[4]창원!$R$20</f>
        <v>54089.836572788576</v>
      </c>
      <c r="J21" s="402">
        <f t="shared" si="1"/>
        <v>-3507.5381213159781</v>
      </c>
      <c r="K21" s="404">
        <f>+[4]창원!$Q$21</f>
        <v>18333.142765957447</v>
      </c>
      <c r="L21" s="403">
        <f>+[4]창원!$R$21</f>
        <v>18286.305566574112</v>
      </c>
      <c r="M21" s="402">
        <f t="shared" si="2"/>
        <v>-46.837199383335246</v>
      </c>
      <c r="N21" s="404">
        <f>+[4]창원!$Q$22</f>
        <v>83.333333333333329</v>
      </c>
      <c r="O21" s="403">
        <f>+[4]창원!$R$22</f>
        <v>149.03318788840406</v>
      </c>
      <c r="P21" s="402">
        <f t="shared" si="3"/>
        <v>65.699854555070729</v>
      </c>
      <c r="Q21" s="404">
        <f t="shared" si="4"/>
        <v>76013.850793395322</v>
      </c>
      <c r="R21" s="403">
        <f t="shared" si="5"/>
        <v>72525.175327251098</v>
      </c>
      <c r="S21" s="402">
        <f t="shared" si="6"/>
        <v>-3488.6754661442246</v>
      </c>
      <c r="T21" s="404">
        <f t="shared" si="7"/>
        <v>24086.406827271334</v>
      </c>
      <c r="U21" s="403">
        <f t="shared" si="8"/>
        <v>18779.426021420062</v>
      </c>
      <c r="V21" s="402">
        <f t="shared" si="9"/>
        <v>-5306.9808058512717</v>
      </c>
    </row>
    <row r="22" spans="4:22" ht="24" customHeight="1" x14ac:dyDescent="0.3">
      <c r="D22" s="353" t="s">
        <v>131</v>
      </c>
      <c r="E22" s="404">
        <f>+[4]대구!$Q$85</f>
        <v>97252.640217391308</v>
      </c>
      <c r="F22" s="403">
        <f>+[4]대구!$R$85</f>
        <v>86391.624073266459</v>
      </c>
      <c r="G22" s="402">
        <f t="shared" si="0"/>
        <v>-10861.016144124849</v>
      </c>
      <c r="H22" s="404">
        <f>+[4]대구!$Q$20</f>
        <v>54318.428711239379</v>
      </c>
      <c r="I22" s="403">
        <f>+[4]대구!$R$20</f>
        <v>55813.598778892279</v>
      </c>
      <c r="J22" s="402">
        <f t="shared" si="1"/>
        <v>1495.1700676528999</v>
      </c>
      <c r="K22" s="404">
        <f>+[4]대구!$Q$21</f>
        <v>18656.076315789473</v>
      </c>
      <c r="L22" s="403">
        <f>+[4]대구!$R$21</f>
        <v>18524.186073557205</v>
      </c>
      <c r="M22" s="402">
        <f t="shared" si="2"/>
        <v>-131.89024223226806</v>
      </c>
      <c r="N22" s="404">
        <f>+[4]대구!$Q$22</f>
        <v>400</v>
      </c>
      <c r="O22" s="403">
        <f>+[4]대구!$R$22</f>
        <v>417.59005669428694</v>
      </c>
      <c r="P22" s="402">
        <f t="shared" si="3"/>
        <v>17.590056694286943</v>
      </c>
      <c r="Q22" s="404">
        <f t="shared" si="4"/>
        <v>73374.505027028848</v>
      </c>
      <c r="R22" s="403">
        <f t="shared" si="5"/>
        <v>74755.374909143778</v>
      </c>
      <c r="S22" s="402">
        <f t="shared" si="6"/>
        <v>1380.8698821149301</v>
      </c>
      <c r="T22" s="404">
        <f t="shared" si="7"/>
        <v>23878.13519036246</v>
      </c>
      <c r="U22" s="403">
        <f t="shared" si="8"/>
        <v>11636.249164122681</v>
      </c>
      <c r="V22" s="402">
        <f t="shared" si="9"/>
        <v>-12241.886026239779</v>
      </c>
    </row>
    <row r="23" spans="4:22" ht="24" customHeight="1" x14ac:dyDescent="0.3">
      <c r="D23" s="353" t="s">
        <v>130</v>
      </c>
      <c r="E23" s="404">
        <f>+[4]울산!$Q$85</f>
        <v>104222.16</v>
      </c>
      <c r="F23" s="403">
        <f>+[4]울산!$R$85</f>
        <v>105926.67988800746</v>
      </c>
      <c r="G23" s="402">
        <f t="shared" si="0"/>
        <v>1704.5198880074604</v>
      </c>
      <c r="H23" s="404">
        <f>+[4]울산!$Q$20</f>
        <v>60721.553021876156</v>
      </c>
      <c r="I23" s="403">
        <f>+[4]울산!$R$20</f>
        <v>60220.833061129262</v>
      </c>
      <c r="J23" s="402">
        <f t="shared" si="1"/>
        <v>-500.71996074689378</v>
      </c>
      <c r="K23" s="404">
        <f>+[4]울산!$Q$21</f>
        <v>20823.380641679472</v>
      </c>
      <c r="L23" s="403">
        <f>+[4]울산!$R$21</f>
        <v>24936.464185720954</v>
      </c>
      <c r="M23" s="402">
        <f t="shared" si="2"/>
        <v>4113.0835440414812</v>
      </c>
      <c r="N23" s="404">
        <f>+[4]울산!$Q$22</f>
        <v>246.4</v>
      </c>
      <c r="O23" s="403">
        <f>+[4]울산!$R$22</f>
        <v>232.12144190387306</v>
      </c>
      <c r="P23" s="402">
        <f t="shared" si="3"/>
        <v>-14.278558096126943</v>
      </c>
      <c r="Q23" s="404">
        <f t="shared" si="4"/>
        <v>81791.333663555619</v>
      </c>
      <c r="R23" s="403">
        <f t="shared" si="5"/>
        <v>85389.418688754085</v>
      </c>
      <c r="S23" s="402">
        <f t="shared" si="6"/>
        <v>3598.0850251984666</v>
      </c>
      <c r="T23" s="404">
        <f t="shared" si="7"/>
        <v>22430.826336444385</v>
      </c>
      <c r="U23" s="403">
        <f t="shared" si="8"/>
        <v>20537.261199253378</v>
      </c>
      <c r="V23" s="402">
        <f t="shared" si="9"/>
        <v>-1893.5651371910062</v>
      </c>
    </row>
    <row r="24" spans="4:22" ht="24" customHeight="1" x14ac:dyDescent="0.3">
      <c r="D24" s="408" t="s">
        <v>27</v>
      </c>
      <c r="E24" s="407">
        <f>+[4]아산!$Q$85</f>
        <v>103000</v>
      </c>
      <c r="F24" s="406">
        <f>+[4]아산!$R$85</f>
        <v>96241.63062933716</v>
      </c>
      <c r="G24" s="405">
        <f t="shared" si="0"/>
        <v>-6758.3693706628401</v>
      </c>
      <c r="H24" s="407">
        <f>+[4]아산!$Q$20</f>
        <v>57701.388940092169</v>
      </c>
      <c r="I24" s="406">
        <f>+[4]아산!$R$20</f>
        <v>59320.404994985911</v>
      </c>
      <c r="J24" s="405">
        <f t="shared" si="1"/>
        <v>1619.016054893742</v>
      </c>
      <c r="K24" s="407">
        <f>+[4]아산!$Q$21</f>
        <v>20195.060790273557</v>
      </c>
      <c r="L24" s="406">
        <f>+[4]아산!$R$21</f>
        <v>21911.989494293492</v>
      </c>
      <c r="M24" s="405">
        <f t="shared" si="2"/>
        <v>1716.9287040199342</v>
      </c>
      <c r="N24" s="407">
        <f>+[4]아산!$Q$22</f>
        <v>119.04761904761904</v>
      </c>
      <c r="O24" s="406">
        <f>+[4]아산!$R$22</f>
        <v>164.2794040399217</v>
      </c>
      <c r="P24" s="405">
        <f t="shared" si="3"/>
        <v>45.231784992302664</v>
      </c>
      <c r="Q24" s="407">
        <f t="shared" si="4"/>
        <v>78015.497349413345</v>
      </c>
      <c r="R24" s="406">
        <f t="shared" si="5"/>
        <v>81396.673893319312</v>
      </c>
      <c r="S24" s="405">
        <f t="shared" si="6"/>
        <v>3381.1765439059673</v>
      </c>
      <c r="T24" s="407">
        <f t="shared" si="7"/>
        <v>24984.502650586655</v>
      </c>
      <c r="U24" s="406">
        <f t="shared" si="8"/>
        <v>14844.956736017848</v>
      </c>
      <c r="V24" s="405">
        <f t="shared" si="9"/>
        <v>-10139.545914568807</v>
      </c>
    </row>
    <row r="25" spans="4:22" ht="24" customHeight="1" x14ac:dyDescent="0.3">
      <c r="D25" s="353" t="s">
        <v>129</v>
      </c>
      <c r="E25" s="404">
        <f>+[4]전주!$Q$85</f>
        <v>100827.57250000001</v>
      </c>
      <c r="F25" s="403">
        <f>+[4]전주!$R$85</f>
        <v>97258.448391539248</v>
      </c>
      <c r="G25" s="402">
        <f t="shared" si="0"/>
        <v>-3569.1241084607609</v>
      </c>
      <c r="H25" s="404">
        <f>+[4]전주!$Q$20</f>
        <v>56257.38394067483</v>
      </c>
      <c r="I25" s="403">
        <f>+[4]전주!$R$20</f>
        <v>60019.414601473545</v>
      </c>
      <c r="J25" s="402">
        <f t="shared" si="1"/>
        <v>3762.030660798715</v>
      </c>
      <c r="K25" s="404">
        <f>+[4]전주!$Q$21</f>
        <v>16650.867615248226</v>
      </c>
      <c r="L25" s="403">
        <f>+[4]전주!$R$21</f>
        <v>17289.43892551204</v>
      </c>
      <c r="M25" s="402">
        <f t="shared" si="2"/>
        <v>638.57131026381467</v>
      </c>
      <c r="N25" s="404">
        <f>+[4]전주!$Q$22</f>
        <v>250</v>
      </c>
      <c r="O25" s="403">
        <f>+[4]전주!$R$22</f>
        <v>287.82366834702293</v>
      </c>
      <c r="P25" s="402">
        <f t="shared" si="3"/>
        <v>37.823668347022931</v>
      </c>
      <c r="Q25" s="404">
        <f t="shared" si="4"/>
        <v>73158.251555923052</v>
      </c>
      <c r="R25" s="403">
        <f t="shared" si="5"/>
        <v>77596.67719533261</v>
      </c>
      <c r="S25" s="402">
        <f t="shared" si="6"/>
        <v>4438.4256394095573</v>
      </c>
      <c r="T25" s="404">
        <f t="shared" si="7"/>
        <v>27669.320944076957</v>
      </c>
      <c r="U25" s="403">
        <f t="shared" si="8"/>
        <v>19661.771196206639</v>
      </c>
      <c r="V25" s="402">
        <f t="shared" si="9"/>
        <v>-8007.5497478703182</v>
      </c>
    </row>
    <row r="26" spans="4:22" ht="24" customHeight="1" x14ac:dyDescent="0.3">
      <c r="D26" s="353" t="s">
        <v>128</v>
      </c>
      <c r="E26" s="404">
        <f>+[4]군산!$Q$85</f>
        <v>111047.17333333334</v>
      </c>
      <c r="F26" s="403">
        <f>+[4]군산!$R$85</f>
        <v>108100.42548877624</v>
      </c>
      <c r="G26" s="402">
        <f t="shared" si="0"/>
        <v>-2946.7478445571032</v>
      </c>
      <c r="H26" s="404">
        <f>+[4]군산!$Q$20</f>
        <v>58698.107419354841</v>
      </c>
      <c r="I26" s="403">
        <f>+[4]군산!$R$20</f>
        <v>58227.202896451847</v>
      </c>
      <c r="J26" s="402">
        <f t="shared" si="1"/>
        <v>-470.90452290299436</v>
      </c>
      <c r="K26" s="404">
        <f>+[4]군산!$Q$21</f>
        <v>14095.694764032072</v>
      </c>
      <c r="L26" s="403">
        <f>+[4]군산!$R$21</f>
        <v>14348.61491672701</v>
      </c>
      <c r="M26" s="402">
        <f t="shared" si="2"/>
        <v>252.92015269493822</v>
      </c>
      <c r="N26" s="404">
        <f>+[4]군산!$Q$22</f>
        <v>60</v>
      </c>
      <c r="O26" s="403">
        <f>+[4]군산!$R$22</f>
        <v>83.994496741491659</v>
      </c>
      <c r="P26" s="402">
        <f t="shared" si="3"/>
        <v>23.994496741491659</v>
      </c>
      <c r="Q26" s="404">
        <f t="shared" si="4"/>
        <v>72853.802183386913</v>
      </c>
      <c r="R26" s="403">
        <f t="shared" si="5"/>
        <v>72659.812309920351</v>
      </c>
      <c r="S26" s="402">
        <f t="shared" si="6"/>
        <v>-193.98987346656213</v>
      </c>
      <c r="T26" s="404">
        <f t="shared" si="7"/>
        <v>38193.371149946426</v>
      </c>
      <c r="U26" s="403">
        <f t="shared" si="8"/>
        <v>35440.613178855885</v>
      </c>
      <c r="V26" s="402">
        <f t="shared" si="9"/>
        <v>-2752.7579710905411</v>
      </c>
    </row>
    <row r="27" spans="4:22" ht="24" customHeight="1" x14ac:dyDescent="0.3">
      <c r="D27" s="353" t="s">
        <v>127</v>
      </c>
      <c r="E27" s="404">
        <f>+[4]원주!$Q$85</f>
        <v>112000</v>
      </c>
      <c r="F27" s="403">
        <f>+[4]원주!$R$85</f>
        <v>110318.55646100116</v>
      </c>
      <c r="G27" s="402">
        <f t="shared" si="0"/>
        <v>-1681.4435389988357</v>
      </c>
      <c r="H27" s="404">
        <f>+[4]원주!$Q$20</f>
        <v>57608.53333333334</v>
      </c>
      <c r="I27" s="403">
        <f>+[4]원주!$R$20</f>
        <v>56006.768335273577</v>
      </c>
      <c r="J27" s="402">
        <f t="shared" si="1"/>
        <v>-1601.7649980597635</v>
      </c>
      <c r="K27" s="404">
        <f>+[4]원주!$Q$21</f>
        <v>15173.686346409911</v>
      </c>
      <c r="L27" s="403">
        <f>+[4]원주!$R$21</f>
        <v>14128.992782305006</v>
      </c>
      <c r="M27" s="402">
        <f t="shared" si="2"/>
        <v>-1044.6935641049058</v>
      </c>
      <c r="N27" s="404">
        <f>+[4]원주!$Q$22</f>
        <v>280</v>
      </c>
      <c r="O27" s="403">
        <f>+[4]원주!$R$22</f>
        <v>280.4337601862631</v>
      </c>
      <c r="P27" s="402">
        <f t="shared" si="3"/>
        <v>0.43376018626310042</v>
      </c>
      <c r="Q27" s="404">
        <f t="shared" si="4"/>
        <v>73062.219679743255</v>
      </c>
      <c r="R27" s="403">
        <f t="shared" si="5"/>
        <v>70416.19487776485</v>
      </c>
      <c r="S27" s="402">
        <f t="shared" si="6"/>
        <v>-2646.0248019784049</v>
      </c>
      <c r="T27" s="404">
        <f t="shared" si="7"/>
        <v>38937.780320256745</v>
      </c>
      <c r="U27" s="403">
        <f t="shared" si="8"/>
        <v>39902.361583236314</v>
      </c>
      <c r="V27" s="402">
        <f t="shared" si="9"/>
        <v>964.58126297956915</v>
      </c>
    </row>
    <row r="28" spans="4:22" ht="24" customHeight="1" x14ac:dyDescent="0.3">
      <c r="D28" s="348" t="s">
        <v>126</v>
      </c>
      <c r="E28" s="401">
        <f>+[4]제주!$Q$85</f>
        <v>122613.5</v>
      </c>
      <c r="F28" s="400">
        <f>+[4]제주!$R$85</f>
        <v>126350.89045643153</v>
      </c>
      <c r="G28" s="399">
        <f t="shared" si="0"/>
        <v>3737.3904564315308</v>
      </c>
      <c r="H28" s="401">
        <f>+[4]제주!$Q$20</f>
        <v>73407.278197997774</v>
      </c>
      <c r="I28" s="400">
        <f>+[4]제주!$R$20</f>
        <v>80083.184130494876</v>
      </c>
      <c r="J28" s="399">
        <f t="shared" si="1"/>
        <v>6675.9059324971022</v>
      </c>
      <c r="K28" s="401">
        <f>+[4]제주!$Q$21</f>
        <v>17407.542955326458</v>
      </c>
      <c r="L28" s="400">
        <f>+[4]제주!$R$21</f>
        <v>18385.460602709427</v>
      </c>
      <c r="M28" s="399">
        <f t="shared" si="2"/>
        <v>977.91764738296843</v>
      </c>
      <c r="N28" s="401">
        <f>+[4]제주!$Q$22</f>
        <v>312.5</v>
      </c>
      <c r="O28" s="400">
        <f>+[4]제주!$R$22</f>
        <v>616.58197401161181</v>
      </c>
      <c r="P28" s="399">
        <f t="shared" si="3"/>
        <v>304.08197401161181</v>
      </c>
      <c r="Q28" s="401">
        <f t="shared" si="4"/>
        <v>91127.321153324228</v>
      </c>
      <c r="R28" s="400">
        <f t="shared" si="5"/>
        <v>99085.226707215916</v>
      </c>
      <c r="S28" s="399">
        <f t="shared" si="6"/>
        <v>7957.9055538916873</v>
      </c>
      <c r="T28" s="401">
        <f t="shared" si="7"/>
        <v>31486.178846675772</v>
      </c>
      <c r="U28" s="400">
        <f t="shared" si="8"/>
        <v>27265.663749215615</v>
      </c>
      <c r="V28" s="399">
        <f t="shared" si="9"/>
        <v>-4220.5150974601565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6C93-3AD1-4759-9437-717A6F22A0F1}">
  <sheetPr>
    <tabColor theme="1" tint="0.34998626667073579"/>
    <pageSetUpPr fitToPage="1"/>
  </sheetPr>
  <dimension ref="A1:Y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activeCell="P31" sqref="P31"/>
      <selection pane="topRight" activeCell="P31" sqref="P31"/>
      <selection pane="bottomLeft" activeCell="P31" sqref="P31"/>
      <selection pane="bottomRight" activeCell="E8" sqref="E8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398" t="s">
        <v>218</v>
      </c>
      <c r="F4" s="398"/>
      <c r="I4" s="398"/>
    </row>
    <row r="5" spans="1:22" ht="21.95" customHeight="1" x14ac:dyDescent="0.3"/>
    <row r="6" spans="1:22" ht="24" customHeight="1" thickBot="1" x14ac:dyDescent="0.35">
      <c r="A6" s="6" t="s">
        <v>139</v>
      </c>
      <c r="D6" s="611" t="s">
        <v>11</v>
      </c>
      <c r="E6" s="396" t="s">
        <v>152</v>
      </c>
      <c r="F6" s="395"/>
      <c r="G6" s="394"/>
      <c r="H6" s="396" t="s">
        <v>151</v>
      </c>
      <c r="I6" s="395"/>
      <c r="J6" s="394"/>
      <c r="K6" s="396" t="s">
        <v>150</v>
      </c>
      <c r="L6" s="395"/>
      <c r="M6" s="394"/>
      <c r="N6" s="396" t="s">
        <v>149</v>
      </c>
      <c r="O6" s="395"/>
      <c r="P6" s="394"/>
      <c r="Q6" s="396" t="s">
        <v>148</v>
      </c>
      <c r="R6" s="395"/>
      <c r="S6" s="394"/>
      <c r="T6" s="396" t="s">
        <v>147</v>
      </c>
      <c r="U6" s="395"/>
      <c r="V6" s="394"/>
    </row>
    <row r="7" spans="1:22" ht="24" customHeight="1" x14ac:dyDescent="0.3">
      <c r="D7" s="612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 x14ac:dyDescent="0.3">
      <c r="D8" s="388" t="s">
        <v>141</v>
      </c>
      <c r="E8" s="441">
        <f>+[4]합계!$G$9</f>
        <v>100546.81618843522</v>
      </c>
      <c r="F8" s="440">
        <f>+[4]합계!$H$9</f>
        <v>100336.22913736757</v>
      </c>
      <c r="G8" s="439">
        <f t="shared" ref="G8:G28" si="0">+F8-E8</f>
        <v>-210.58705106764683</v>
      </c>
      <c r="H8" s="441">
        <f>+[4]합계!$G$10</f>
        <v>93977.21542726364</v>
      </c>
      <c r="I8" s="440">
        <f>+[4]합계!$H$10</f>
        <v>93897.567130926502</v>
      </c>
      <c r="J8" s="439">
        <f t="shared" ref="J8:J28" si="1">+I8-H8</f>
        <v>-79.648296337138163</v>
      </c>
      <c r="K8" s="441">
        <f>+[4]합계!$G$12</f>
        <v>63632.12296270168</v>
      </c>
      <c r="L8" s="440">
        <f>+[4]합계!$H$12</f>
        <v>61444.28008285079</v>
      </c>
      <c r="M8" s="439">
        <f t="shared" ref="M8:M28" si="2">+L8-K8</f>
        <v>-2187.8428798508903</v>
      </c>
      <c r="N8" s="441">
        <f>+[4]합계!$G$13</f>
        <v>40669.981448825536</v>
      </c>
      <c r="O8" s="440">
        <f>+[4]합계!$H$13</f>
        <v>39232.493219181124</v>
      </c>
      <c r="P8" s="439">
        <f t="shared" ref="P8:P28" si="3">+O8-N8</f>
        <v>-1437.4882296444121</v>
      </c>
      <c r="Q8" s="441">
        <f>+[4]합계!$G$16</f>
        <v>13138.766612091016</v>
      </c>
      <c r="R8" s="440">
        <f>+[4]합계!$H$16</f>
        <v>12926.970004576116</v>
      </c>
      <c r="S8" s="439">
        <f t="shared" ref="S8:S28" si="4">+R8-Q8</f>
        <v>-211.79660751489973</v>
      </c>
      <c r="T8" s="441">
        <f>+[4]합계!$G$17</f>
        <v>15887.350800073025</v>
      </c>
      <c r="U8" s="440">
        <f>+[4]합계!$H$17</f>
        <v>15366.081535555548</v>
      </c>
      <c r="V8" s="439">
        <f t="shared" ref="V8:V28" si="5">+U8-T8</f>
        <v>-521.2692645174775</v>
      </c>
    </row>
    <row r="9" spans="1:22" ht="24" customHeight="1" x14ac:dyDescent="0.3">
      <c r="D9" s="382" t="s">
        <v>16</v>
      </c>
      <c r="E9" s="438">
        <f>+[4]수도권!$G$9</f>
        <v>100000</v>
      </c>
      <c r="F9" s="437">
        <f>+[4]수도권!$H$9</f>
        <v>99852.788875809871</v>
      </c>
      <c r="G9" s="436">
        <f t="shared" si="0"/>
        <v>-147.21112419012934</v>
      </c>
      <c r="H9" s="438">
        <f>+[4]수도권!$G$10</f>
        <v>98000</v>
      </c>
      <c r="I9" s="437">
        <f>+[4]수도권!$H$10</f>
        <v>99126.995478620636</v>
      </c>
      <c r="J9" s="436">
        <f t="shared" si="1"/>
        <v>1126.9954786206363</v>
      </c>
      <c r="K9" s="438">
        <f>+[4]수도권!$G$12</f>
        <v>64171.277944157664</v>
      </c>
      <c r="L9" s="437">
        <f>+[4]수도권!$H$12</f>
        <v>61328.445960407225</v>
      </c>
      <c r="M9" s="436">
        <f t="shared" si="2"/>
        <v>-2842.8319837504387</v>
      </c>
      <c r="N9" s="438">
        <f>+[4]수도권!$G$13</f>
        <v>47201.159758440845</v>
      </c>
      <c r="O9" s="437">
        <f>+[4]수도권!$H$13</f>
        <v>42379.270204661902</v>
      </c>
      <c r="P9" s="436">
        <f t="shared" si="3"/>
        <v>-4821.8895537789431</v>
      </c>
      <c r="Q9" s="438">
        <f>+[4]수도권!$G$16</f>
        <v>15809.29889530734</v>
      </c>
      <c r="R9" s="437">
        <f>+[4]수도권!$H$16</f>
        <v>14923.897096394174</v>
      </c>
      <c r="S9" s="436">
        <f t="shared" si="4"/>
        <v>-885.4017989131662</v>
      </c>
      <c r="T9" s="438">
        <f>+[4]수도권!$G$17</f>
        <v>14173.647710907113</v>
      </c>
      <c r="U9" s="437">
        <f>+[4]수도권!$H$17</f>
        <v>13425.656906966004</v>
      </c>
      <c r="V9" s="436">
        <f t="shared" si="5"/>
        <v>-747.99080394110933</v>
      </c>
    </row>
    <row r="10" spans="1:22" ht="24" customHeight="1" x14ac:dyDescent="0.3">
      <c r="D10" s="377" t="s">
        <v>17</v>
      </c>
      <c r="E10" s="435">
        <f>+[4]영남권!$G$9</f>
        <v>100000</v>
      </c>
      <c r="F10" s="434">
        <f>+[4]영남권!$H$9</f>
        <v>100000.01432479186</v>
      </c>
      <c r="G10" s="433">
        <f t="shared" si="0"/>
        <v>1.4324791860417463E-2</v>
      </c>
      <c r="H10" s="435">
        <f>+[4]영남권!$G$10</f>
        <v>92432.50335781074</v>
      </c>
      <c r="I10" s="434">
        <f>+[4]영남권!$H$10</f>
        <v>92196.443718221111</v>
      </c>
      <c r="J10" s="433">
        <f t="shared" si="1"/>
        <v>-236.0596395896282</v>
      </c>
      <c r="K10" s="435">
        <f>+[4]영남권!$G$12</f>
        <v>62722.737787560924</v>
      </c>
      <c r="L10" s="434">
        <f>+[4]영남권!$H$12</f>
        <v>61043.971246229412</v>
      </c>
      <c r="M10" s="433">
        <f t="shared" si="2"/>
        <v>-1678.7665413315117</v>
      </c>
      <c r="N10" s="435">
        <f>+[4]영남권!$G$13</f>
        <v>35408.91318555794</v>
      </c>
      <c r="O10" s="434">
        <f>+[4]영남권!$H$13</f>
        <v>35540.340128285497</v>
      </c>
      <c r="P10" s="433">
        <f t="shared" si="3"/>
        <v>131.42694272755762</v>
      </c>
      <c r="Q10" s="435">
        <f>+[4]영남권!$G$16</f>
        <v>10912.451938769338</v>
      </c>
      <c r="R10" s="434">
        <f>+[4]영남권!$H$16</f>
        <v>11020.269855106244</v>
      </c>
      <c r="S10" s="433">
        <f t="shared" si="4"/>
        <v>107.81791633690591</v>
      </c>
      <c r="T10" s="435">
        <f>+[4]영남권!$G$17</f>
        <v>17625.036748986877</v>
      </c>
      <c r="U10" s="434">
        <f>+[4]영남권!$H$17</f>
        <v>17572.777515403308</v>
      </c>
      <c r="V10" s="433">
        <f t="shared" si="5"/>
        <v>-52.259233583568857</v>
      </c>
    </row>
    <row r="11" spans="1:22" ht="24" customHeight="1" x14ac:dyDescent="0.3">
      <c r="D11" s="372" t="s">
        <v>132</v>
      </c>
      <c r="E11" s="432">
        <f>+[4]중부권!$G$9</f>
        <v>102762.39799914105</v>
      </c>
      <c r="F11" s="431">
        <f>+[4]중부권!$H$9</f>
        <v>101656.81789586513</v>
      </c>
      <c r="G11" s="430">
        <f t="shared" si="0"/>
        <v>-1105.5801032759191</v>
      </c>
      <c r="H11" s="432">
        <f>+[4]중부권!$G$10</f>
        <v>99276.611286424668</v>
      </c>
      <c r="I11" s="431">
        <f>+[4]중부권!$H$10</f>
        <v>97100.992398468399</v>
      </c>
      <c r="J11" s="430">
        <f t="shared" si="1"/>
        <v>-2175.6188879562687</v>
      </c>
      <c r="K11" s="432">
        <f>+[4]중부권!$G$12</f>
        <v>64611.358082641884</v>
      </c>
      <c r="L11" s="431">
        <f>+[4]중부권!$H$12</f>
        <v>62101.296281719486</v>
      </c>
      <c r="M11" s="430">
        <f t="shared" si="2"/>
        <v>-2510.0618009223981</v>
      </c>
      <c r="N11" s="432">
        <f>+[4]중부권!$G$13</f>
        <v>41952.075622273893</v>
      </c>
      <c r="O11" s="431">
        <f>+[4]중부권!$H$13</f>
        <v>40027.882369022431</v>
      </c>
      <c r="P11" s="430">
        <f t="shared" si="3"/>
        <v>-1924.193253251462</v>
      </c>
      <c r="Q11" s="432">
        <f>+[4]중부권!$G$16</f>
        <v>13239.466113409901</v>
      </c>
      <c r="R11" s="431">
        <f>+[4]중부권!$H$16</f>
        <v>13068.277094085468</v>
      </c>
      <c r="S11" s="430">
        <f t="shared" si="4"/>
        <v>-171.18901932443259</v>
      </c>
      <c r="T11" s="432">
        <f>+[4]중부권!$G$17</f>
        <v>14746.70370496443</v>
      </c>
      <c r="U11" s="431">
        <f>+[4]중부권!$H$17</f>
        <v>14392.317671720828</v>
      </c>
      <c r="V11" s="430">
        <f t="shared" si="5"/>
        <v>-354.38603324360156</v>
      </c>
    </row>
    <row r="12" spans="1:22" ht="24" customHeight="1" x14ac:dyDescent="0.3">
      <c r="D12" s="412" t="s">
        <v>18</v>
      </c>
      <c r="E12" s="429">
        <f>+[4]안양!$G$9</f>
        <v>100000</v>
      </c>
      <c r="F12" s="428">
        <f>+[4]안양!$H$9</f>
        <v>99693.691913984352</v>
      </c>
      <c r="G12" s="427">
        <f t="shared" si="0"/>
        <v>-306.30808601564786</v>
      </c>
      <c r="H12" s="429">
        <f>+[4]안양!$G$10</f>
        <v>0</v>
      </c>
      <c r="I12" s="428">
        <f>+[4]안양!$H$10</f>
        <v>0</v>
      </c>
      <c r="J12" s="427">
        <f t="shared" si="1"/>
        <v>0</v>
      </c>
      <c r="K12" s="429">
        <f>+[4]안양!$G$12</f>
        <v>64099.999999999993</v>
      </c>
      <c r="L12" s="428">
        <f>+[4]안양!$H$12</f>
        <v>60947.342256949945</v>
      </c>
      <c r="M12" s="427">
        <f t="shared" si="2"/>
        <v>-3152.6577430500474</v>
      </c>
      <c r="N12" s="429">
        <f>+[4]안양!$G$13</f>
        <v>46100</v>
      </c>
      <c r="O12" s="428">
        <f>+[4]안양!$H$13</f>
        <v>41578.668945733996</v>
      </c>
      <c r="P12" s="427">
        <f t="shared" si="3"/>
        <v>-4521.3310542660038</v>
      </c>
      <c r="Q12" s="429">
        <f>+[4]안양!$G$16</f>
        <v>15800</v>
      </c>
      <c r="R12" s="428">
        <f>+[4]안양!$H$16</f>
        <v>14275.276372156459</v>
      </c>
      <c r="S12" s="427">
        <f t="shared" si="4"/>
        <v>-1524.7236278435412</v>
      </c>
      <c r="T12" s="429">
        <f>+[4]안양!$G$17</f>
        <v>15032.258064516131</v>
      </c>
      <c r="U12" s="428">
        <f>+[4]안양!$H$17</f>
        <v>13616.373560045702</v>
      </c>
      <c r="V12" s="427">
        <f t="shared" si="5"/>
        <v>-1415.8845044704285</v>
      </c>
    </row>
    <row r="13" spans="1:22" ht="24" customHeight="1" x14ac:dyDescent="0.3">
      <c r="D13" s="353" t="s">
        <v>19</v>
      </c>
      <c r="E13" s="422">
        <f>+[4]인천!$G$9</f>
        <v>100000</v>
      </c>
      <c r="F13" s="421">
        <f>+[4]인천!$H$9</f>
        <v>99917.970566719247</v>
      </c>
      <c r="G13" s="420">
        <f t="shared" si="0"/>
        <v>-82.029433280753437</v>
      </c>
      <c r="H13" s="422">
        <f>+[4]인천!$G$10</f>
        <v>98000</v>
      </c>
      <c r="I13" s="421">
        <f>+[4]인천!$H$10</f>
        <v>99589.298055910418</v>
      </c>
      <c r="J13" s="420">
        <f t="shared" si="1"/>
        <v>1589.298055910418</v>
      </c>
      <c r="K13" s="422">
        <f>+[4]인천!$G$12</f>
        <v>64399.999999999993</v>
      </c>
      <c r="L13" s="421">
        <f>+[4]인천!$H$12</f>
        <v>61965.055714294445</v>
      </c>
      <c r="M13" s="420">
        <f t="shared" si="2"/>
        <v>-2434.9442857055474</v>
      </c>
      <c r="N13" s="422">
        <f>+[4]인천!$G$13</f>
        <v>47600</v>
      </c>
      <c r="O13" s="421">
        <f>+[4]인천!$H$13</f>
        <v>41934.097328896969</v>
      </c>
      <c r="P13" s="420">
        <f t="shared" si="3"/>
        <v>-5665.902671103031</v>
      </c>
      <c r="Q13" s="422">
        <f>+[4]인천!$G$16</f>
        <v>16000</v>
      </c>
      <c r="R13" s="421">
        <f>+[4]인천!$H$16</f>
        <v>15329.294041032492</v>
      </c>
      <c r="S13" s="420">
        <f t="shared" si="4"/>
        <v>-670.7059589675082</v>
      </c>
      <c r="T13" s="422">
        <f>+[4]인천!$G$17</f>
        <v>14318.131256952169</v>
      </c>
      <c r="U13" s="421">
        <f>+[4]인천!$H$17</f>
        <v>13940.814343667049</v>
      </c>
      <c r="V13" s="420">
        <f t="shared" si="5"/>
        <v>-377.31691328511988</v>
      </c>
    </row>
    <row r="14" spans="1:22" ht="24" customHeight="1" x14ac:dyDescent="0.3">
      <c r="D14" s="353" t="s">
        <v>20</v>
      </c>
      <c r="E14" s="422">
        <f>+[4]파주!$G$9</f>
        <v>100000</v>
      </c>
      <c r="F14" s="421">
        <f>+[4]파주!$H$9</f>
        <v>100001.78108621786</v>
      </c>
      <c r="G14" s="420">
        <f t="shared" si="0"/>
        <v>1.7810862178594107</v>
      </c>
      <c r="H14" s="422">
        <f>+[4]파주!$G$10</f>
        <v>0</v>
      </c>
      <c r="I14" s="421">
        <f>+[4]파주!$H$10</f>
        <v>0</v>
      </c>
      <c r="J14" s="420">
        <f t="shared" si="1"/>
        <v>0</v>
      </c>
      <c r="K14" s="422">
        <f>+[4]파주!$G$12</f>
        <v>64300</v>
      </c>
      <c r="L14" s="421">
        <f>+[4]파주!$H$12</f>
        <v>61165.668233018558</v>
      </c>
      <c r="M14" s="420">
        <f t="shared" si="2"/>
        <v>-3134.3317669814423</v>
      </c>
      <c r="N14" s="422">
        <f>+[4]파주!$G$13</f>
        <v>48200.000000000007</v>
      </c>
      <c r="O14" s="421">
        <f>+[4]파주!$H$13</f>
        <v>44210.04265330459</v>
      </c>
      <c r="P14" s="420">
        <f t="shared" si="3"/>
        <v>-3989.9573466954171</v>
      </c>
      <c r="Q14" s="422">
        <f>+[4]파주!$G$16</f>
        <v>16333.333333333328</v>
      </c>
      <c r="R14" s="421">
        <f>+[4]파주!$H$16</f>
        <v>15712.084215527124</v>
      </c>
      <c r="S14" s="420">
        <f t="shared" si="4"/>
        <v>-621.24911780620459</v>
      </c>
      <c r="T14" s="422">
        <f>+[4]파주!$G$17</f>
        <v>12580.645161290322</v>
      </c>
      <c r="U14" s="421">
        <f>+[4]파주!$H$17</f>
        <v>11714.725457287233</v>
      </c>
      <c r="V14" s="420">
        <f t="shared" si="5"/>
        <v>-865.91970400308855</v>
      </c>
    </row>
    <row r="15" spans="1:22" ht="24" customHeight="1" x14ac:dyDescent="0.3">
      <c r="D15" s="353" t="s">
        <v>108</v>
      </c>
      <c r="E15" s="422">
        <f>+[4]김포!$G$9</f>
        <v>100000</v>
      </c>
      <c r="F15" s="421">
        <f>+[4]김포!$H$9</f>
        <v>99999.998558111067</v>
      </c>
      <c r="G15" s="420">
        <f t="shared" si="0"/>
        <v>-1.4418889331864193E-3</v>
      </c>
      <c r="H15" s="422">
        <f>+[4]김포!$G$10</f>
        <v>0</v>
      </c>
      <c r="I15" s="421">
        <f>+[4]김포!$H$10</f>
        <v>94499.994924682294</v>
      </c>
      <c r="J15" s="420">
        <f t="shared" si="1"/>
        <v>94499.994924682294</v>
      </c>
      <c r="K15" s="422">
        <f>+[4]김포!$G$12</f>
        <v>63800</v>
      </c>
      <c r="L15" s="421">
        <f>+[4]김포!$H$12</f>
        <v>61256.706157634464</v>
      </c>
      <c r="M15" s="420">
        <f t="shared" si="2"/>
        <v>-2543.293842365536</v>
      </c>
      <c r="N15" s="422">
        <f>+[4]김포!$G$13</f>
        <v>47599.999999999993</v>
      </c>
      <c r="O15" s="421">
        <f>+[4]김포!$H$13</f>
        <v>43399.757137632092</v>
      </c>
      <c r="P15" s="420">
        <f t="shared" si="3"/>
        <v>-4200.2428623679007</v>
      </c>
      <c r="Q15" s="422">
        <f>+[4]김포!$G$16</f>
        <v>14600</v>
      </c>
      <c r="R15" s="421">
        <f>+[4]김포!$H$16</f>
        <v>14650.313198652007</v>
      </c>
      <c r="S15" s="420">
        <f t="shared" si="4"/>
        <v>50.313198652007486</v>
      </c>
      <c r="T15" s="422">
        <f>+[4]김포!$G$17</f>
        <v>14121.586343102315</v>
      </c>
      <c r="U15" s="421">
        <f>+[4]김포!$H$17</f>
        <v>14128.388314046728</v>
      </c>
      <c r="V15" s="420">
        <f t="shared" si="5"/>
        <v>6.8019709444124601</v>
      </c>
    </row>
    <row r="16" spans="1:22" ht="24" customHeight="1" x14ac:dyDescent="0.3">
      <c r="D16" s="408" t="s">
        <v>21</v>
      </c>
      <c r="E16" s="425">
        <f>+[4]부산!$G$9</f>
        <v>99999.999999999985</v>
      </c>
      <c r="F16" s="424">
        <f>+[4]부산!$H$9</f>
        <v>100000.00058964211</v>
      </c>
      <c r="G16" s="423">
        <f t="shared" si="0"/>
        <v>5.8964212075807154E-4</v>
      </c>
      <c r="H16" s="425">
        <f>+[4]부산!$G$10</f>
        <v>92899.999999999985</v>
      </c>
      <c r="I16" s="424">
        <f>+[4]부산!$H$10</f>
        <v>92232.53722375189</v>
      </c>
      <c r="J16" s="423">
        <f t="shared" si="1"/>
        <v>-667.46277624809591</v>
      </c>
      <c r="K16" s="425">
        <f>+[4]부산!$G$12</f>
        <v>0</v>
      </c>
      <c r="L16" s="424">
        <f>+[4]부산!$H$12</f>
        <v>0</v>
      </c>
      <c r="M16" s="423">
        <f t="shared" si="2"/>
        <v>0</v>
      </c>
      <c r="N16" s="425">
        <f>+[4]부산!$G$13</f>
        <v>36500</v>
      </c>
      <c r="O16" s="424">
        <f>+[4]부산!$H$13</f>
        <v>36393.879995901458</v>
      </c>
      <c r="P16" s="423">
        <f t="shared" si="3"/>
        <v>-106.12000409854227</v>
      </c>
      <c r="Q16" s="425">
        <f>+[4]부산!$G$16</f>
        <v>11711.806666666667</v>
      </c>
      <c r="R16" s="424">
        <f>+[4]부산!$H$16</f>
        <v>11870.829183908592</v>
      </c>
      <c r="S16" s="423">
        <f t="shared" si="4"/>
        <v>159.02251724192502</v>
      </c>
      <c r="T16" s="425">
        <f>+[4]부산!$G$17</f>
        <v>18098.229077374235</v>
      </c>
      <c r="U16" s="424">
        <f>+[4]부산!$H$17</f>
        <v>18215.866763396414</v>
      </c>
      <c r="V16" s="423">
        <f t="shared" si="5"/>
        <v>117.63768602217897</v>
      </c>
    </row>
    <row r="17" spans="4:25" ht="24" customHeight="1" x14ac:dyDescent="0.3">
      <c r="D17" s="353" t="s">
        <v>22</v>
      </c>
      <c r="E17" s="422">
        <f>+[4]서부산!$G$9</f>
        <v>100000</v>
      </c>
      <c r="F17" s="421">
        <f>+[4]서부산!$H$9</f>
        <v>100000.05640176131</v>
      </c>
      <c r="G17" s="420">
        <f t="shared" si="0"/>
        <v>5.6401761306915432E-2</v>
      </c>
      <c r="H17" s="422">
        <f>+[4]서부산!$G$10</f>
        <v>92100</v>
      </c>
      <c r="I17" s="421">
        <f>+[4]서부산!$H$10</f>
        <v>92099.999627734738</v>
      </c>
      <c r="J17" s="420">
        <f t="shared" si="1"/>
        <v>-3.7226526183076203E-4</v>
      </c>
      <c r="K17" s="422">
        <f>+[4]서부산!$G$12</f>
        <v>65000</v>
      </c>
      <c r="L17" s="421">
        <f>+[4]서부산!$H$12</f>
        <v>63000.008246511963</v>
      </c>
      <c r="M17" s="420">
        <f t="shared" si="2"/>
        <v>-1999.9917534880369</v>
      </c>
      <c r="N17" s="422">
        <f>+[4]서부산!$G$13</f>
        <v>35300</v>
      </c>
      <c r="O17" s="421">
        <f>+[4]서부산!$H$13</f>
        <v>35339.388635538839</v>
      </c>
      <c r="P17" s="420">
        <f t="shared" si="3"/>
        <v>39.388635538838571</v>
      </c>
      <c r="Q17" s="422">
        <f>+[4]서부산!$G$16</f>
        <v>11333.333333333334</v>
      </c>
      <c r="R17" s="421">
        <f>+[4]서부산!$H$16</f>
        <v>10767.123904371663</v>
      </c>
      <c r="S17" s="420">
        <f t="shared" si="4"/>
        <v>-566.20942896167071</v>
      </c>
      <c r="T17" s="422">
        <f>+[4]서부산!$G$17</f>
        <v>17741.351568785194</v>
      </c>
      <c r="U17" s="421">
        <f>+[4]서부산!$H$17</f>
        <v>16709.924008443209</v>
      </c>
      <c r="V17" s="420">
        <f t="shared" si="5"/>
        <v>-1031.4275603419846</v>
      </c>
    </row>
    <row r="18" spans="4:25" ht="24" customHeight="1" x14ac:dyDescent="0.3">
      <c r="D18" s="353" t="s">
        <v>23</v>
      </c>
      <c r="E18" s="422">
        <f>+[4]김해!$G$9</f>
        <v>100000</v>
      </c>
      <c r="F18" s="421">
        <f>+[4]김해!$H$9</f>
        <v>100000.00000000001</v>
      </c>
      <c r="G18" s="420">
        <f t="shared" si="0"/>
        <v>0</v>
      </c>
      <c r="H18" s="422">
        <f>+[4]김해!$G$10</f>
        <v>92100.000000000015</v>
      </c>
      <c r="I18" s="421">
        <f>+[4]김해!$H$10</f>
        <v>92100.006828537269</v>
      </c>
      <c r="J18" s="420">
        <f t="shared" si="1"/>
        <v>6.8285372544778511E-3</v>
      </c>
      <c r="K18" s="422">
        <f>+[4]김해!$G$12</f>
        <v>64000</v>
      </c>
      <c r="L18" s="421">
        <f>+[4]김해!$H$12</f>
        <v>62003.328533608328</v>
      </c>
      <c r="M18" s="420">
        <f t="shared" si="2"/>
        <v>-1996.6714663916719</v>
      </c>
      <c r="N18" s="422">
        <f>+[4]김해!$G$13</f>
        <v>35000</v>
      </c>
      <c r="O18" s="421">
        <f>+[4]김해!$H$13</f>
        <v>34726.784462650838</v>
      </c>
      <c r="P18" s="420">
        <f t="shared" si="3"/>
        <v>-273.21553734916233</v>
      </c>
      <c r="Q18" s="422">
        <f>+[4]김해!$G$16</f>
        <v>9066.6666666666679</v>
      </c>
      <c r="R18" s="421">
        <f>+[4]김해!$H$16</f>
        <v>9133.71196632592</v>
      </c>
      <c r="S18" s="420">
        <f t="shared" si="4"/>
        <v>67.045299659252123</v>
      </c>
      <c r="T18" s="422">
        <f>+[4]김해!$G$17</f>
        <v>15880.190628800197</v>
      </c>
      <c r="U18" s="421">
        <f>+[4]김해!$H$17</f>
        <v>16544.743301370712</v>
      </c>
      <c r="V18" s="420">
        <f t="shared" si="5"/>
        <v>664.55267257051491</v>
      </c>
    </row>
    <row r="19" spans="4:25" ht="24" customHeight="1" x14ac:dyDescent="0.3">
      <c r="D19" s="353" t="s">
        <v>24</v>
      </c>
      <c r="E19" s="422">
        <f>+[4]정관!$G$9</f>
        <v>100000</v>
      </c>
      <c r="F19" s="421">
        <f>+[4]정관!$H$9</f>
        <v>100000.001323223</v>
      </c>
      <c r="G19" s="420">
        <f t="shared" si="0"/>
        <v>1.32322299759835E-3</v>
      </c>
      <c r="H19" s="422">
        <f>+[4]정관!$G$10</f>
        <v>92100</v>
      </c>
      <c r="I19" s="421">
        <f>+[4]정관!$H$10</f>
        <v>92100.002367546593</v>
      </c>
      <c r="J19" s="420">
        <f t="shared" si="1"/>
        <v>2.3675465927226469E-3</v>
      </c>
      <c r="K19" s="422">
        <f>+[4]정관!$G$12</f>
        <v>62000</v>
      </c>
      <c r="L19" s="421">
        <f>+[4]정관!$H$12</f>
        <v>61027.319700868626</v>
      </c>
      <c r="M19" s="420">
        <f t="shared" si="2"/>
        <v>-972.68029913137434</v>
      </c>
      <c r="N19" s="422">
        <f>+[4]정관!$G$13</f>
        <v>35500</v>
      </c>
      <c r="O19" s="421">
        <f>+[4]정관!$H$13</f>
        <v>35481.26555928756</v>
      </c>
      <c r="P19" s="420">
        <f t="shared" si="3"/>
        <v>-18.734440712440119</v>
      </c>
      <c r="Q19" s="422">
        <f>+[4]정관!$G$16</f>
        <v>11362.368995041013</v>
      </c>
      <c r="R19" s="421">
        <f>+[4]정관!$H$16</f>
        <v>11125.552589949099</v>
      </c>
      <c r="S19" s="420">
        <f t="shared" si="4"/>
        <v>-236.81640509191493</v>
      </c>
      <c r="T19" s="422">
        <f>+[4]정관!$G$17</f>
        <v>19373.747651494996</v>
      </c>
      <c r="U19" s="421">
        <f>+[4]정관!$H$17</f>
        <v>18764.584101873857</v>
      </c>
      <c r="V19" s="420">
        <f t="shared" si="5"/>
        <v>-609.16354962113837</v>
      </c>
    </row>
    <row r="20" spans="4:25" ht="24" customHeight="1" x14ac:dyDescent="0.3">
      <c r="D20" s="353" t="s">
        <v>25</v>
      </c>
      <c r="E20" s="422">
        <f>+[4]양산!$G$9</f>
        <v>100000</v>
      </c>
      <c r="F20" s="421">
        <f>+[4]양산!$H$9</f>
        <v>100000.01182589086</v>
      </c>
      <c r="G20" s="420">
        <f t="shared" si="0"/>
        <v>1.1825890862382948E-2</v>
      </c>
      <c r="H20" s="422">
        <f>+[4]양산!$G$10</f>
        <v>0</v>
      </c>
      <c r="I20" s="421">
        <f>+[4]양산!$H$10</f>
        <v>0</v>
      </c>
      <c r="J20" s="420">
        <f t="shared" si="1"/>
        <v>0</v>
      </c>
      <c r="K20" s="422">
        <f>+[4]양산!$G$12</f>
        <v>62200</v>
      </c>
      <c r="L20" s="421">
        <f>+[4]양산!$H$12</f>
        <v>61017.27135004416</v>
      </c>
      <c r="M20" s="420">
        <f t="shared" si="2"/>
        <v>-1182.7286499558395</v>
      </c>
      <c r="N20" s="422">
        <f>+[4]양산!$G$13</f>
        <v>36000</v>
      </c>
      <c r="O20" s="421">
        <f>+[4]양산!$H$13</f>
        <v>35938.336565646467</v>
      </c>
      <c r="P20" s="420">
        <f t="shared" si="3"/>
        <v>-61.663434353533376</v>
      </c>
      <c r="Q20" s="422">
        <f>+[4]양산!$G$16</f>
        <v>9600</v>
      </c>
      <c r="R20" s="421">
        <f>+[4]양산!$H$16</f>
        <v>9389.4157806543135</v>
      </c>
      <c r="S20" s="420">
        <f t="shared" si="4"/>
        <v>-210.58421934568651</v>
      </c>
      <c r="T20" s="422">
        <f>+[4]양산!$G$17</f>
        <v>17974.860423314243</v>
      </c>
      <c r="U20" s="421">
        <f>+[4]양산!$H$17</f>
        <v>16398.243684740159</v>
      </c>
      <c r="V20" s="420">
        <f t="shared" si="5"/>
        <v>-1576.6167385740846</v>
      </c>
    </row>
    <row r="21" spans="4:25" ht="24" customHeight="1" x14ac:dyDescent="0.3">
      <c r="D21" s="353" t="s">
        <v>26</v>
      </c>
      <c r="E21" s="422">
        <f>+[4]창원!$G$9</f>
        <v>100000</v>
      </c>
      <c r="F21" s="421">
        <f>+[4]창원!$H$9</f>
        <v>100000.0005796214</v>
      </c>
      <c r="G21" s="420">
        <f t="shared" si="0"/>
        <v>5.7962139544542879E-4</v>
      </c>
      <c r="H21" s="422">
        <f>+[4]창원!$G$10</f>
        <v>0</v>
      </c>
      <c r="I21" s="421">
        <f>+[4]창원!$H$10</f>
        <v>0</v>
      </c>
      <c r="J21" s="420">
        <f t="shared" si="1"/>
        <v>0</v>
      </c>
      <c r="K21" s="422">
        <f>+[4]창원!$G$12</f>
        <v>64500.000000000015</v>
      </c>
      <c r="L21" s="421">
        <f>+[4]창원!$H$12</f>
        <v>63000.000797709734</v>
      </c>
      <c r="M21" s="420">
        <f t="shared" si="2"/>
        <v>-1499.9992022902807</v>
      </c>
      <c r="N21" s="422">
        <f>+[4]창원!$G$13</f>
        <v>32999.999999999993</v>
      </c>
      <c r="O21" s="421">
        <f>+[4]창원!$H$13</f>
        <v>32894.247710123069</v>
      </c>
      <c r="P21" s="420">
        <f t="shared" si="3"/>
        <v>-105.7522898769239</v>
      </c>
      <c r="Q21" s="422">
        <f>+[4]창원!$G$16</f>
        <v>11000</v>
      </c>
      <c r="R21" s="421">
        <f>+[4]창원!$H$16</f>
        <v>11164.17097944074</v>
      </c>
      <c r="S21" s="420">
        <f t="shared" si="4"/>
        <v>164.17097944073976</v>
      </c>
      <c r="T21" s="422">
        <f>+[4]창원!$G$17</f>
        <v>17410.304567029427</v>
      </c>
      <c r="U21" s="421">
        <f>+[4]창원!$H$17</f>
        <v>16718.123916112327</v>
      </c>
      <c r="V21" s="420">
        <f t="shared" si="5"/>
        <v>-692.18065091710014</v>
      </c>
      <c r="Y21" s="426"/>
    </row>
    <row r="22" spans="4:25" ht="24" customHeight="1" x14ac:dyDescent="0.3">
      <c r="D22" s="353" t="s">
        <v>131</v>
      </c>
      <c r="E22" s="422">
        <f>+[4]대구!$G$9</f>
        <v>100000</v>
      </c>
      <c r="F22" s="421">
        <f>+[4]대구!$H$9</f>
        <v>100000.00000000001</v>
      </c>
      <c r="G22" s="420">
        <f t="shared" si="0"/>
        <v>0</v>
      </c>
      <c r="H22" s="422">
        <f>+[4]대구!$G$10</f>
        <v>0</v>
      </c>
      <c r="I22" s="421">
        <f>+[4]대구!$H$10</f>
        <v>96500.016437961953</v>
      </c>
      <c r="J22" s="420">
        <f t="shared" si="1"/>
        <v>96500.016437961953</v>
      </c>
      <c r="K22" s="422">
        <f>+[4]대구!$G$12</f>
        <v>61400</v>
      </c>
      <c r="L22" s="421">
        <f>+[4]대구!$H$12</f>
        <v>59218.636552502838</v>
      </c>
      <c r="M22" s="420">
        <f t="shared" si="2"/>
        <v>-2181.3634474971623</v>
      </c>
      <c r="N22" s="422">
        <f>+[4]대구!$G$13</f>
        <v>35300.000000000007</v>
      </c>
      <c r="O22" s="421">
        <f>+[4]대구!$H$13</f>
        <v>34262.510008643469</v>
      </c>
      <c r="P22" s="420">
        <f t="shared" si="3"/>
        <v>-1037.4899913565387</v>
      </c>
      <c r="Q22" s="422">
        <f>+[4]대구!$G$16</f>
        <v>11133.333333333332</v>
      </c>
      <c r="R22" s="421">
        <f>+[4]대구!$H$16</f>
        <v>10933.548903182715</v>
      </c>
      <c r="S22" s="420">
        <f t="shared" si="4"/>
        <v>-199.78443015061748</v>
      </c>
      <c r="T22" s="422">
        <f>+[4]대구!$G$17</f>
        <v>14763.292547274748</v>
      </c>
      <c r="U22" s="421">
        <f>+[4]대구!$H$17</f>
        <v>14914.126491661187</v>
      </c>
      <c r="V22" s="420">
        <f t="shared" si="5"/>
        <v>150.83394438643882</v>
      </c>
    </row>
    <row r="23" spans="4:25" ht="24" customHeight="1" x14ac:dyDescent="0.3">
      <c r="D23" s="353" t="s">
        <v>130</v>
      </c>
      <c r="E23" s="422">
        <f>+[4]울산!$G$9</f>
        <v>100000</v>
      </c>
      <c r="F23" s="421">
        <f>+[4]울산!$H$9</f>
        <v>99999.999999999956</v>
      </c>
      <c r="G23" s="420">
        <f t="shared" si="0"/>
        <v>0</v>
      </c>
      <c r="H23" s="422">
        <f>+[4]울산!$G$10</f>
        <v>0</v>
      </c>
      <c r="I23" s="421">
        <f>+[4]울산!$H$10</f>
        <v>0</v>
      </c>
      <c r="J23" s="420">
        <f t="shared" si="1"/>
        <v>0</v>
      </c>
      <c r="K23" s="422">
        <f>+[4]울산!$G$12</f>
        <v>60200</v>
      </c>
      <c r="L23" s="421">
        <f>+[4]울산!$H$12</f>
        <v>59200.013270872747</v>
      </c>
      <c r="M23" s="420">
        <f t="shared" si="2"/>
        <v>-999.98672912725306</v>
      </c>
      <c r="N23" s="422">
        <f>+[4]울산!$G$13</f>
        <v>37000</v>
      </c>
      <c r="O23" s="421">
        <f>+[4]울산!$H$13</f>
        <v>36999.473666092643</v>
      </c>
      <c r="P23" s="420">
        <f t="shared" si="3"/>
        <v>-0.52633390735718422</v>
      </c>
      <c r="Q23" s="422">
        <f>+[4]울산!$G$16</f>
        <v>11533.333333333334</v>
      </c>
      <c r="R23" s="421">
        <f>+[4]울산!$H$16</f>
        <v>11550.323949154288</v>
      </c>
      <c r="S23" s="420">
        <f t="shared" si="4"/>
        <v>16.99061582095419</v>
      </c>
      <c r="T23" s="422">
        <f>+[4]울산!$G$17</f>
        <v>19459.84427141268</v>
      </c>
      <c r="U23" s="421">
        <f>+[4]울산!$H$17</f>
        <v>20098.680777389003</v>
      </c>
      <c r="V23" s="420">
        <f t="shared" si="5"/>
        <v>638.83650597632368</v>
      </c>
    </row>
    <row r="24" spans="4:25" ht="24" customHeight="1" x14ac:dyDescent="0.3">
      <c r="D24" s="408" t="s">
        <v>27</v>
      </c>
      <c r="E24" s="425">
        <f>+[4]아산!$G$9</f>
        <v>100000</v>
      </c>
      <c r="F24" s="424">
        <f>+[4]아산!$H$9</f>
        <v>99965.440281263393</v>
      </c>
      <c r="G24" s="423">
        <f t="shared" si="0"/>
        <v>-34.559718736607465</v>
      </c>
      <c r="H24" s="425">
        <f>+[4]아산!$G$10</f>
        <v>86800</v>
      </c>
      <c r="I24" s="424">
        <f>+[4]아산!$H$10</f>
        <v>86600.056830877002</v>
      </c>
      <c r="J24" s="423">
        <f t="shared" si="1"/>
        <v>-199.94316912299837</v>
      </c>
      <c r="K24" s="425">
        <f>+[4]아산!$G$12</f>
        <v>64300</v>
      </c>
      <c r="L24" s="424">
        <f>+[4]아산!$H$12</f>
        <v>61901.935501584485</v>
      </c>
      <c r="M24" s="423">
        <f t="shared" si="2"/>
        <v>-2398.0644984155151</v>
      </c>
      <c r="N24" s="425">
        <f>+[4]아산!$G$13</f>
        <v>42900</v>
      </c>
      <c r="O24" s="424">
        <f>+[4]아산!$H$13</f>
        <v>39509.824698244302</v>
      </c>
      <c r="P24" s="423">
        <f t="shared" si="3"/>
        <v>-3390.1753017556985</v>
      </c>
      <c r="Q24" s="425">
        <f>+[4]아산!$G$16</f>
        <v>11400</v>
      </c>
      <c r="R24" s="424">
        <f>+[4]아산!$H$16</f>
        <v>10852.302780181359</v>
      </c>
      <c r="S24" s="423">
        <f t="shared" si="4"/>
        <v>-547.69721981864132</v>
      </c>
      <c r="T24" s="425">
        <f>+[4]아산!$G$17</f>
        <v>13225.806451612903</v>
      </c>
      <c r="U24" s="424">
        <f>+[4]아산!$H$17</f>
        <v>12580.677957528527</v>
      </c>
      <c r="V24" s="423">
        <f t="shared" si="5"/>
        <v>-645.12849408437614</v>
      </c>
    </row>
    <row r="25" spans="4:25" ht="24" customHeight="1" x14ac:dyDescent="0.3">
      <c r="D25" s="353" t="s">
        <v>129</v>
      </c>
      <c r="E25" s="422">
        <f>+[4]전주!$G$9</f>
        <v>100000.00000000001</v>
      </c>
      <c r="F25" s="421">
        <f>+[4]전주!$H$9</f>
        <v>100000.00000000007</v>
      </c>
      <c r="G25" s="420">
        <f t="shared" si="0"/>
        <v>0</v>
      </c>
      <c r="H25" s="422">
        <f>+[4]전주!$G$10</f>
        <v>96799.999999999985</v>
      </c>
      <c r="I25" s="421">
        <f>+[4]전주!$H$10</f>
        <v>97367.122953981059</v>
      </c>
      <c r="J25" s="420">
        <f t="shared" si="1"/>
        <v>567.12295398107381</v>
      </c>
      <c r="K25" s="422">
        <f>+[4]전주!$G$12</f>
        <v>65000</v>
      </c>
      <c r="L25" s="421">
        <f>+[4]전주!$H$12</f>
        <v>62000.003212345822</v>
      </c>
      <c r="M25" s="420">
        <f t="shared" si="2"/>
        <v>-2999.9967876541778</v>
      </c>
      <c r="N25" s="422">
        <f>+[4]전주!$G$13</f>
        <v>36000</v>
      </c>
      <c r="O25" s="421">
        <f>+[4]전주!$H$13</f>
        <v>35950.934123721745</v>
      </c>
      <c r="P25" s="420">
        <f t="shared" si="3"/>
        <v>-49.065876278255018</v>
      </c>
      <c r="Q25" s="422">
        <f>+[4]전주!$G$16</f>
        <v>13333.333333333334</v>
      </c>
      <c r="R25" s="421">
        <f>+[4]전주!$H$16</f>
        <v>14865.500356517587</v>
      </c>
      <c r="S25" s="420">
        <f t="shared" si="4"/>
        <v>1532.1670231842527</v>
      </c>
      <c r="T25" s="422">
        <f>+[4]전주!$G$17</f>
        <v>15310.272941745945</v>
      </c>
      <c r="U25" s="421">
        <f>+[4]전주!$H$17</f>
        <v>15839.310562437979</v>
      </c>
      <c r="V25" s="420">
        <f t="shared" si="5"/>
        <v>529.03762069203367</v>
      </c>
    </row>
    <row r="26" spans="4:25" ht="24" customHeight="1" x14ac:dyDescent="0.3">
      <c r="D26" s="353" t="s">
        <v>128</v>
      </c>
      <c r="E26" s="422">
        <f>+[4]군산!$G$9</f>
        <v>100000</v>
      </c>
      <c r="F26" s="421">
        <f>+[4]군산!$H$9</f>
        <v>99999.999999999985</v>
      </c>
      <c r="G26" s="420">
        <f t="shared" si="0"/>
        <v>0</v>
      </c>
      <c r="H26" s="422">
        <f>+[4]군산!$G$10</f>
        <v>94200</v>
      </c>
      <c r="I26" s="421">
        <f>+[4]군산!$H$10</f>
        <v>93101.058427901327</v>
      </c>
      <c r="J26" s="420">
        <f t="shared" si="1"/>
        <v>-1098.9415720986726</v>
      </c>
      <c r="K26" s="422">
        <f>+[4]군산!$G$12</f>
        <v>64900.000000000007</v>
      </c>
      <c r="L26" s="421">
        <f>+[4]군산!$H$12</f>
        <v>63365.187380571682</v>
      </c>
      <c r="M26" s="420">
        <f t="shared" si="2"/>
        <v>-1534.812619428325</v>
      </c>
      <c r="N26" s="422">
        <f>+[4]군산!$G$13</f>
        <v>39300.000000000007</v>
      </c>
      <c r="O26" s="421">
        <f>+[4]군산!$H$13</f>
        <v>33626.070918875972</v>
      </c>
      <c r="P26" s="420">
        <f t="shared" si="3"/>
        <v>-5673.9290811240353</v>
      </c>
      <c r="Q26" s="422">
        <f>+[4]군산!$G$16</f>
        <v>14200</v>
      </c>
      <c r="R26" s="421">
        <f>+[4]군산!$H$16</f>
        <v>15120.987207914033</v>
      </c>
      <c r="S26" s="420">
        <f t="shared" si="4"/>
        <v>920.98720791403321</v>
      </c>
      <c r="T26" s="422">
        <f>+[4]군산!$G$17</f>
        <v>15212.903225806453</v>
      </c>
      <c r="U26" s="421">
        <f>+[4]군산!$H$17</f>
        <v>15342.133445325218</v>
      </c>
      <c r="V26" s="420">
        <f t="shared" si="5"/>
        <v>129.23021951876581</v>
      </c>
    </row>
    <row r="27" spans="4:25" ht="24" customHeight="1" x14ac:dyDescent="0.3">
      <c r="D27" s="353" t="s">
        <v>127</v>
      </c>
      <c r="E27" s="422">
        <f>+[4]원주!$G$9</f>
        <v>100000</v>
      </c>
      <c r="F27" s="421">
        <f>+[4]원주!$H$9</f>
        <v>99999.999999999971</v>
      </c>
      <c r="G27" s="420">
        <f t="shared" si="0"/>
        <v>0</v>
      </c>
      <c r="H27" s="422">
        <f>+[4]원주!$G$10</f>
        <v>0</v>
      </c>
      <c r="I27" s="421">
        <f>+[4]원주!$H$10</f>
        <v>0</v>
      </c>
      <c r="J27" s="420">
        <f t="shared" si="1"/>
        <v>0</v>
      </c>
      <c r="K27" s="422">
        <f>+[4]원주!$G$12</f>
        <v>64000</v>
      </c>
      <c r="L27" s="421">
        <f>+[4]원주!$H$12</f>
        <v>62001.840037639493</v>
      </c>
      <c r="M27" s="420">
        <f t="shared" si="2"/>
        <v>-1998.1599623605071</v>
      </c>
      <c r="N27" s="422">
        <f>+[4]원주!$G$13</f>
        <v>49000</v>
      </c>
      <c r="O27" s="421">
        <f>+[4]원주!$H$13</f>
        <v>48859.094816003046</v>
      </c>
      <c r="P27" s="420">
        <f t="shared" si="3"/>
        <v>-140.90518399695429</v>
      </c>
      <c r="Q27" s="422">
        <f>+[4]원주!$G$16</f>
        <v>13666.666666666664</v>
      </c>
      <c r="R27" s="421">
        <f>+[4]원주!$H$16</f>
        <v>12456.635101244414</v>
      </c>
      <c r="S27" s="420">
        <f t="shared" si="4"/>
        <v>-1210.0315654222504</v>
      </c>
      <c r="T27" s="422">
        <f>+[4]원주!$G$17</f>
        <v>13806.451612903225</v>
      </c>
      <c r="U27" s="421">
        <f>+[4]원주!$H$17</f>
        <v>12343.535790199541</v>
      </c>
      <c r="V27" s="420">
        <f t="shared" si="5"/>
        <v>-1462.9158227036842</v>
      </c>
    </row>
    <row r="28" spans="4:25" ht="24" customHeight="1" x14ac:dyDescent="0.3">
      <c r="D28" s="348" t="s">
        <v>126</v>
      </c>
      <c r="E28" s="419">
        <f>+[4]제주!$G$9</f>
        <v>117000</v>
      </c>
      <c r="F28" s="418">
        <f>+[4]제주!$H$9</f>
        <v>117000.00491126678</v>
      </c>
      <c r="G28" s="417">
        <f t="shared" si="0"/>
        <v>4.9112667766166851E-3</v>
      </c>
      <c r="H28" s="419">
        <f>+[4]제주!$G$10</f>
        <v>117000</v>
      </c>
      <c r="I28" s="418">
        <f>+[4]제주!$H$10</f>
        <v>116999.94269997709</v>
      </c>
      <c r="J28" s="417">
        <f t="shared" si="1"/>
        <v>-5.7300022905110382E-2</v>
      </c>
      <c r="K28" s="419">
        <f>+[4]제주!$G$12</f>
        <v>0</v>
      </c>
      <c r="L28" s="418">
        <f>+[4]제주!$H$12</f>
        <v>0</v>
      </c>
      <c r="M28" s="417">
        <f t="shared" si="2"/>
        <v>0</v>
      </c>
      <c r="N28" s="419">
        <f>+[4]제주!$G$13</f>
        <v>0</v>
      </c>
      <c r="O28" s="418">
        <f>+[4]제주!$H$13</f>
        <v>0</v>
      </c>
      <c r="P28" s="417">
        <f t="shared" si="3"/>
        <v>0</v>
      </c>
      <c r="Q28" s="419">
        <f>+[4]제주!$G$16</f>
        <v>17666.666666666668</v>
      </c>
      <c r="R28" s="418">
        <f>+[4]제주!$H$16</f>
        <v>18336.926404529157</v>
      </c>
      <c r="S28" s="417">
        <f t="shared" si="4"/>
        <v>670.25973786248869</v>
      </c>
      <c r="T28" s="419">
        <f>+[4]제주!$G$17</f>
        <v>17544.784945306346</v>
      </c>
      <c r="U28" s="418">
        <f>+[4]제주!$H$17</f>
        <v>20476.82655632354</v>
      </c>
      <c r="V28" s="417">
        <f t="shared" si="5"/>
        <v>2932.0416110171936</v>
      </c>
    </row>
    <row r="29" spans="4:25" ht="24" customHeight="1" x14ac:dyDescent="0.3"/>
    <row r="30" spans="4:25" ht="24" customHeight="1" x14ac:dyDescent="0.3"/>
    <row r="31" spans="4:25" ht="24" customHeight="1" x14ac:dyDescent="0.3"/>
    <row r="32" spans="4:25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EB6A-81D7-4E96-B8DE-9C67D6DAAE69}">
  <sheetPr>
    <tabColor theme="1" tint="0.34998626667073579"/>
    <pageSetUpPr fitToPage="1"/>
  </sheetPr>
  <dimension ref="A1:V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activeCell="P31" sqref="P31"/>
      <selection pane="topRight" activeCell="P31" sqref="P31"/>
      <selection pane="bottomLeft" activeCell="P31" sqref="P31"/>
      <selection pane="bottomRight" activeCell="E8" sqref="E8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398" t="s">
        <v>217</v>
      </c>
      <c r="F4" s="398"/>
      <c r="I4" s="398"/>
    </row>
    <row r="5" spans="1:22" ht="21.95" customHeight="1" x14ac:dyDescent="0.3">
      <c r="V5" s="397" t="s">
        <v>159</v>
      </c>
    </row>
    <row r="6" spans="1:22" ht="24" customHeight="1" thickBot="1" x14ac:dyDescent="0.35">
      <c r="A6" s="6" t="s">
        <v>139</v>
      </c>
      <c r="D6" s="611" t="s">
        <v>11</v>
      </c>
      <c r="E6" s="396" t="s">
        <v>158</v>
      </c>
      <c r="F6" s="395"/>
      <c r="G6" s="394"/>
      <c r="H6" s="396" t="s">
        <v>157</v>
      </c>
      <c r="I6" s="395"/>
      <c r="J6" s="394"/>
      <c r="K6" s="396" t="s">
        <v>156</v>
      </c>
      <c r="L6" s="395"/>
      <c r="M6" s="394"/>
      <c r="N6" s="396" t="s">
        <v>155</v>
      </c>
      <c r="O6" s="395"/>
      <c r="P6" s="394"/>
      <c r="Q6" s="396" t="s">
        <v>154</v>
      </c>
      <c r="R6" s="395"/>
      <c r="S6" s="394"/>
      <c r="T6" s="396" t="s">
        <v>153</v>
      </c>
      <c r="U6" s="395"/>
      <c r="V6" s="394"/>
    </row>
    <row r="7" spans="1:22" ht="24" customHeight="1" x14ac:dyDescent="0.3">
      <c r="D7" s="612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 x14ac:dyDescent="0.3">
      <c r="D8" s="388" t="s">
        <v>141</v>
      </c>
      <c r="E8" s="386">
        <f>+[4]합계!$E$9</f>
        <v>253.57857447859021</v>
      </c>
      <c r="F8" s="385">
        <f>+[4]합계!$F$9</f>
        <v>256.21293251065572</v>
      </c>
      <c r="G8" s="416">
        <f t="shared" ref="G8:G28" si="0">+F8-E8</f>
        <v>2.6343580320655064</v>
      </c>
      <c r="H8" s="386">
        <f>+[4]합계!$E$15</f>
        <v>363.36225029951407</v>
      </c>
      <c r="I8" s="385">
        <f>+[4]합계!$F$15</f>
        <v>379.21189327526196</v>
      </c>
      <c r="J8" s="416">
        <f t="shared" ref="J8:J28" si="1">+I8-H8</f>
        <v>15.849642975747884</v>
      </c>
      <c r="K8" s="478">
        <f>+([4]합계!$E$10*0.4+[4]합계!$E$11+[4]합계!$E$12+[4]합계!$E$13+[4]합계!$E$14)/[4]합계!$E$15</f>
        <v>0.24541751494822583</v>
      </c>
      <c r="L8" s="477">
        <f>+([4]합계!$F$10*0.4+[4]합계!$F$11+[4]합계!$F$12+[4]합계!$F$13+[4]합계!$F$14)/[4]합계!$F$15</f>
        <v>0.25168429562872596</v>
      </c>
      <c r="M8" s="476">
        <f t="shared" ref="M8:M28" si="2">+L8-K8</f>
        <v>6.266780680500128E-3</v>
      </c>
      <c r="N8" s="386">
        <f>+[4]합계!$E$16</f>
        <v>821.29375577356495</v>
      </c>
      <c r="O8" s="385">
        <f>+[4]합계!$F$16</f>
        <v>791.23719860126175</v>
      </c>
      <c r="P8" s="416">
        <f t="shared" ref="P8:P28" si="3">+O8-N8</f>
        <v>-30.056557172303201</v>
      </c>
      <c r="Q8" s="386">
        <f>+[4]합계!$E$17</f>
        <v>902.37902341827055</v>
      </c>
      <c r="R8" s="385">
        <f>+[4]합계!$F$17</f>
        <v>916.05788455525146</v>
      </c>
      <c r="S8" s="416">
        <f t="shared" ref="S8:S28" si="4">+R8-Q8</f>
        <v>13.678861136980913</v>
      </c>
      <c r="T8" s="386">
        <f>+[4]합계!$E$19</f>
        <v>3.087812819611087</v>
      </c>
      <c r="U8" s="385">
        <f>+[4]합계!$F$19</f>
        <v>3.1016980242708514</v>
      </c>
      <c r="V8" s="416">
        <f t="shared" ref="V8:V28" si="5">+U8-T8</f>
        <v>1.3885204659764394E-2</v>
      </c>
    </row>
    <row r="9" spans="1:22" ht="24" customHeight="1" x14ac:dyDescent="0.3">
      <c r="D9" s="382" t="s">
        <v>16</v>
      </c>
      <c r="E9" s="381">
        <f>+[4]수도권!$E$9</f>
        <v>282.65119791666666</v>
      </c>
      <c r="F9" s="380">
        <f>+[4]수도권!$F$9</f>
        <v>271.33267591479512</v>
      </c>
      <c r="G9" s="415">
        <f t="shared" si="0"/>
        <v>-11.318522001871543</v>
      </c>
      <c r="H9" s="381">
        <f>+[4]수도권!$E$15</f>
        <v>371.3693229166667</v>
      </c>
      <c r="I9" s="380">
        <f>+[4]수도권!$F$15</f>
        <v>386.20547051602523</v>
      </c>
      <c r="J9" s="415">
        <f t="shared" si="1"/>
        <v>14.836147599358526</v>
      </c>
      <c r="K9" s="475">
        <f>+([4]수도권!$E$10*0.4+[4]수도권!$E$11+[4]수도권!$E$12+[4]수도권!$E$13+[4]수도권!$E$14)/[4]수도권!$E$15</f>
        <v>0.22878673535203542</v>
      </c>
      <c r="L9" s="474">
        <f>+([4]수도권!$F$10*0.4+[4]수도권!$F$11+[4]수도권!$F$12+[4]수도권!$F$13+[4]수도권!$F$14)/[4]수도권!$F$15</f>
        <v>0.25457278662889343</v>
      </c>
      <c r="M9" s="473">
        <f t="shared" si="2"/>
        <v>2.5786051276858013E-2</v>
      </c>
      <c r="N9" s="381">
        <f>+[4]수도권!$E$16</f>
        <v>860.21076084214531</v>
      </c>
      <c r="O9" s="380">
        <f>+[4]수도권!$F$16</f>
        <v>820.32769159336181</v>
      </c>
      <c r="P9" s="415">
        <f t="shared" si="3"/>
        <v>-39.883069248783499</v>
      </c>
      <c r="Q9" s="381">
        <f>+[4]수도권!$E$17</f>
        <v>875.45253725172392</v>
      </c>
      <c r="R9" s="380">
        <f>+[4]수도권!$F$17</f>
        <v>888.78177851559292</v>
      </c>
      <c r="S9" s="415">
        <f t="shared" si="4"/>
        <v>13.329241263868994</v>
      </c>
      <c r="T9" s="381">
        <f>+[4]수도권!$E$19</f>
        <v>3.1703125000000001</v>
      </c>
      <c r="U9" s="380">
        <f>+[4]수도권!$F$19</f>
        <v>3.1661107612850694</v>
      </c>
      <c r="V9" s="415">
        <f t="shared" si="5"/>
        <v>-4.2017387149306806E-3</v>
      </c>
    </row>
    <row r="10" spans="1:22" ht="24" customHeight="1" x14ac:dyDescent="0.3">
      <c r="D10" s="377" t="s">
        <v>17</v>
      </c>
      <c r="E10" s="376">
        <f>+[4]영남권!$E$9</f>
        <v>229.24206763708227</v>
      </c>
      <c r="F10" s="375">
        <f>+[4]영남권!$F$9</f>
        <v>230.08374964507831</v>
      </c>
      <c r="G10" s="414">
        <f t="shared" si="0"/>
        <v>0.84168200799604165</v>
      </c>
      <c r="H10" s="376">
        <f>+[4]영남권!$E$15</f>
        <v>359.72281488273438</v>
      </c>
      <c r="I10" s="375">
        <f>+[4]영남권!$F$15</f>
        <v>375.69749967987457</v>
      </c>
      <c r="J10" s="414">
        <f t="shared" si="1"/>
        <v>15.974684797140185</v>
      </c>
      <c r="K10" s="472">
        <f>+([4]영남권!$E$10*0.4+[4]영남권!$E$11+[4]영남권!$E$12+[4]영남권!$E$13+[4]영남권!$E$14)/[4]영남권!$E$15</f>
        <v>0.26741962837561323</v>
      </c>
      <c r="L10" s="471">
        <f>+([4]영남권!$F$10*0.4+[4]영남권!$F$11+[4]영남권!$F$12+[4]영남권!$F$13+[4]영남권!$F$14)/[4]영남권!$F$15</f>
        <v>0.25700582109884074</v>
      </c>
      <c r="M10" s="470">
        <f t="shared" si="2"/>
        <v>-1.0413807276772491E-2</v>
      </c>
      <c r="N10" s="376">
        <f>+[4]영남권!$E$16</f>
        <v>798.47070002101157</v>
      </c>
      <c r="O10" s="375">
        <f>+[4]영남권!$F$16</f>
        <v>781.23042919100078</v>
      </c>
      <c r="P10" s="414">
        <f t="shared" si="3"/>
        <v>-17.240270830010786</v>
      </c>
      <c r="Q10" s="376">
        <f>+[4]영남권!$E$17</f>
        <v>912.4937303342075</v>
      </c>
      <c r="R10" s="375">
        <f>+[4]영남권!$F$17</f>
        <v>907.6050951301936</v>
      </c>
      <c r="S10" s="414">
        <f t="shared" si="4"/>
        <v>-4.8886352040138945</v>
      </c>
      <c r="T10" s="376">
        <f>+[4]영남권!$E$19</f>
        <v>3.2006825155150991</v>
      </c>
      <c r="U10" s="375">
        <f>+[4]영남권!$F$19</f>
        <v>3.1004937060523226</v>
      </c>
      <c r="V10" s="414">
        <f t="shared" si="5"/>
        <v>-0.10018880946277653</v>
      </c>
    </row>
    <row r="11" spans="1:22" ht="24" customHeight="1" x14ac:dyDescent="0.3">
      <c r="D11" s="372" t="s">
        <v>132</v>
      </c>
      <c r="E11" s="371">
        <f>+[4]중부권!$E$9</f>
        <v>258.95420560747664</v>
      </c>
      <c r="F11" s="370">
        <f>+[4]중부권!$F$9</f>
        <v>281.12317214825009</v>
      </c>
      <c r="G11" s="413">
        <f t="shared" si="0"/>
        <v>22.168966540773454</v>
      </c>
      <c r="H11" s="371">
        <f>+[4]중부권!$E$15</f>
        <v>357.59981308411216</v>
      </c>
      <c r="I11" s="370">
        <f>+[4]중부권!$F$15</f>
        <v>374.17529996343222</v>
      </c>
      <c r="J11" s="413">
        <f t="shared" si="1"/>
        <v>16.575486879320067</v>
      </c>
      <c r="K11" s="469">
        <f>+([4]중부권!$E$10*0.4+[4]중부권!$E$11+[4]중부권!$E$12+[4]중부권!$E$13+[4]중부권!$E$14)/[4]중부권!$E$15</f>
        <v>0.22407620067124581</v>
      </c>
      <c r="L11" s="468">
        <f>+([4]중부권!$F$10*0.4+[4]중부권!$F$11+[4]중부권!$F$12+[4]중부권!$F$13+[4]중부권!$F$14)/[4]중부권!$F$15</f>
        <v>0.23632090623060714</v>
      </c>
      <c r="M11" s="467">
        <f t="shared" si="2"/>
        <v>1.224470555936133E-2</v>
      </c>
      <c r="N11" s="371">
        <f>+[4]중부권!$E$16</f>
        <v>805.42616822429909</v>
      </c>
      <c r="O11" s="370">
        <f>+[4]중부권!$F$16</f>
        <v>761.37797924240135</v>
      </c>
      <c r="P11" s="413">
        <f t="shared" si="3"/>
        <v>-44.048188981897738</v>
      </c>
      <c r="Q11" s="371">
        <f>+[4]중부권!$E$17</f>
        <v>926.77962616822435</v>
      </c>
      <c r="R11" s="370">
        <f>+[4]중부권!$F$17</f>
        <v>978.50966181247168</v>
      </c>
      <c r="S11" s="413">
        <f t="shared" si="4"/>
        <v>51.730035644247323</v>
      </c>
      <c r="T11" s="371">
        <f>+[4]중부권!$E$19</f>
        <v>2.6728971962616823</v>
      </c>
      <c r="U11" s="370">
        <f>+[4]중부권!$F$19</f>
        <v>2.9951059390393433</v>
      </c>
      <c r="V11" s="413">
        <f t="shared" si="5"/>
        <v>0.32220874277766098</v>
      </c>
    </row>
    <row r="12" spans="1:22" ht="24" customHeight="1" x14ac:dyDescent="0.3">
      <c r="D12" s="412" t="s">
        <v>18</v>
      </c>
      <c r="E12" s="365">
        <f>+[4]안양!$E$9</f>
        <v>288</v>
      </c>
      <c r="F12" s="364">
        <f>+[4]안양!$F$9</f>
        <v>291.54149691942303</v>
      </c>
      <c r="G12" s="366">
        <f t="shared" si="0"/>
        <v>3.5414969194230252</v>
      </c>
      <c r="H12" s="365">
        <f>+[4]안양!$E$15</f>
        <v>374</v>
      </c>
      <c r="I12" s="364">
        <f>+[4]안양!$F$15</f>
        <v>379.55006402092721</v>
      </c>
      <c r="J12" s="366">
        <f t="shared" si="1"/>
        <v>5.5500640209272092</v>
      </c>
      <c r="K12" s="466">
        <f>+([4]안양!$E$10*0.4+[4]안양!$E$11+[4]안양!$E$12+[4]안양!$E$13+[4]안양!$E$14)/[4]안양!$E$15</f>
        <v>0.22994652406417113</v>
      </c>
      <c r="L12" s="465">
        <f>+([4]안양!$F$10*0.4+[4]안양!$F$11+[4]안양!$F$12+[4]안양!$F$13+[4]안양!$F$14)/[4]안양!$F$15</f>
        <v>0.23187604335814752</v>
      </c>
      <c r="M12" s="464">
        <f t="shared" si="2"/>
        <v>1.9295192939763894E-3</v>
      </c>
      <c r="N12" s="365">
        <f>+[4]안양!$E$16</f>
        <v>846</v>
      </c>
      <c r="O12" s="364">
        <f>+[4]안양!$F$16</f>
        <v>812.22971810140041</v>
      </c>
      <c r="P12" s="366">
        <f t="shared" si="3"/>
        <v>-33.770281898599592</v>
      </c>
      <c r="Q12" s="365">
        <f>+[4]안양!$E$17</f>
        <v>875</v>
      </c>
      <c r="R12" s="364">
        <f>+[4]안양!$F$17</f>
        <v>868.21756789316134</v>
      </c>
      <c r="S12" s="366">
        <f t="shared" si="4"/>
        <v>-6.7824321068386553</v>
      </c>
      <c r="T12" s="463">
        <f>+[4]안양!$E$19</f>
        <v>3.38</v>
      </c>
      <c r="U12" s="462">
        <f>+[4]안양!$F$19</f>
        <v>3.1840877017863907</v>
      </c>
      <c r="V12" s="461">
        <f t="shared" si="5"/>
        <v>-0.19591229821360923</v>
      </c>
    </row>
    <row r="13" spans="1:22" ht="24" customHeight="1" x14ac:dyDescent="0.3">
      <c r="D13" s="353" t="s">
        <v>19</v>
      </c>
      <c r="E13" s="351">
        <f>+[4]인천!$E$9</f>
        <v>281.05</v>
      </c>
      <c r="F13" s="350">
        <f>+[4]인천!$F$9</f>
        <v>256.14888301714637</v>
      </c>
      <c r="G13" s="352">
        <f t="shared" si="0"/>
        <v>-24.901116982853637</v>
      </c>
      <c r="H13" s="351">
        <f>+[4]인천!$E$15</f>
        <v>385.00000000000006</v>
      </c>
      <c r="I13" s="350">
        <f>+[4]인천!$F$15</f>
        <v>402.29417899098968</v>
      </c>
      <c r="J13" s="352">
        <f t="shared" si="1"/>
        <v>17.294178990989622</v>
      </c>
      <c r="K13" s="454">
        <f>+([4]인천!$E$10*0.4+[4]인천!$E$11+[4]인천!$E$12+[4]인천!$E$13+[4]인천!$E$14)/[4]인천!$E$15</f>
        <v>0.23400000000000001</v>
      </c>
      <c r="L13" s="453">
        <f>+([4]인천!$F$10*0.4+[4]인천!$F$11+[4]인천!$F$12+[4]인천!$F$13+[4]인천!$F$14)/[4]인천!$F$15</f>
        <v>0.25146153990447168</v>
      </c>
      <c r="M13" s="452">
        <f t="shared" si="2"/>
        <v>1.7461539904471662E-2</v>
      </c>
      <c r="N13" s="351">
        <f>+[4]인천!$E$16</f>
        <v>903.10223234022885</v>
      </c>
      <c r="O13" s="350">
        <f>+[4]인천!$F$16</f>
        <v>847.6782116108426</v>
      </c>
      <c r="P13" s="352">
        <f t="shared" si="3"/>
        <v>-55.424020729386257</v>
      </c>
      <c r="Q13" s="351">
        <f>+[4]인천!$E$17</f>
        <v>833.63282985251885</v>
      </c>
      <c r="R13" s="350">
        <f>+[4]인천!$F$17</f>
        <v>872.9821693342966</v>
      </c>
      <c r="S13" s="352">
        <f t="shared" si="4"/>
        <v>39.349339481777747</v>
      </c>
      <c r="T13" s="451">
        <f>+[4]인천!$E$19</f>
        <v>3.33</v>
      </c>
      <c r="U13" s="450">
        <f>+[4]인천!$F$19</f>
        <v>3.1753944416986646</v>
      </c>
      <c r="V13" s="449">
        <f t="shared" si="5"/>
        <v>-0.15460555830133549</v>
      </c>
    </row>
    <row r="14" spans="1:22" ht="24" customHeight="1" x14ac:dyDescent="0.3">
      <c r="D14" s="353" t="s">
        <v>20</v>
      </c>
      <c r="E14" s="351">
        <f>+[4]파주!$E$9</f>
        <v>295.48642857142858</v>
      </c>
      <c r="F14" s="350">
        <f>+[4]파주!$F$9</f>
        <v>290.28545108461429</v>
      </c>
      <c r="G14" s="352">
        <f t="shared" si="0"/>
        <v>-5.2009774868142813</v>
      </c>
      <c r="H14" s="351">
        <f>+[4]파주!$E$15</f>
        <v>369.02166666666665</v>
      </c>
      <c r="I14" s="350">
        <f>+[4]파주!$F$15</f>
        <v>378.57392185030886</v>
      </c>
      <c r="J14" s="352">
        <f t="shared" si="1"/>
        <v>9.5522551836422167</v>
      </c>
      <c r="K14" s="454">
        <f>+([4]파주!$E$10*0.4+[4]파주!$E$11+[4]파주!$E$12+[4]파주!$E$13+[4]파주!$E$14)/[4]파주!$E$15</f>
        <v>0.19927078742956766</v>
      </c>
      <c r="L14" s="453">
        <f>+([4]파주!$F$10*0.4+[4]파주!$F$11+[4]파주!$F$12+[4]파주!$F$13+[4]파주!$F$14)/[4]파주!$F$15</f>
        <v>0.23321329249034886</v>
      </c>
      <c r="M14" s="452">
        <f t="shared" si="2"/>
        <v>3.3942505060781197E-2</v>
      </c>
      <c r="N14" s="351">
        <f>+[4]파주!$E$16</f>
        <v>864.26547619047619</v>
      </c>
      <c r="O14" s="350">
        <f>+[4]파주!$F$16</f>
        <v>768.06780634966162</v>
      </c>
      <c r="P14" s="352">
        <f t="shared" si="3"/>
        <v>-96.197669840814569</v>
      </c>
      <c r="Q14" s="351">
        <f>+[4]파주!$E$17</f>
        <v>858.28523809523813</v>
      </c>
      <c r="R14" s="350">
        <f>+[4]파주!$F$17</f>
        <v>948.60041660680963</v>
      </c>
      <c r="S14" s="352">
        <f t="shared" si="4"/>
        <v>90.315178511571503</v>
      </c>
      <c r="T14" s="451">
        <f>+[4]파주!$E$19</f>
        <v>2.87</v>
      </c>
      <c r="U14" s="450">
        <f>+[4]파주!$F$19</f>
        <v>3.113564861370492</v>
      </c>
      <c r="V14" s="449">
        <f t="shared" si="5"/>
        <v>0.24356486137049194</v>
      </c>
    </row>
    <row r="15" spans="1:22" ht="24" customHeight="1" x14ac:dyDescent="0.3">
      <c r="D15" s="353" t="s">
        <v>108</v>
      </c>
      <c r="E15" s="351">
        <f>+[4]김포!$E$9</f>
        <v>253</v>
      </c>
      <c r="F15" s="350">
        <f>+[4]김포!$F$9</f>
        <v>222.9417723010983</v>
      </c>
      <c r="G15" s="352">
        <f t="shared" si="0"/>
        <v>-30.058227698901703</v>
      </c>
      <c r="H15" s="351">
        <f>+[4]김포!$E$15</f>
        <v>343</v>
      </c>
      <c r="I15" s="350">
        <f>+[4]김포!$F$15</f>
        <v>372.96407179212429</v>
      </c>
      <c r="J15" s="352">
        <f t="shared" si="1"/>
        <v>29.964071792124287</v>
      </c>
      <c r="K15" s="454">
        <f>+([4]김포!$E$10*0.4+[4]김포!$E$11+[4]김포!$E$12+[4]김포!$E$13+[4]김포!$E$14)/[4]김포!$E$15</f>
        <v>0.26239067055393583</v>
      </c>
      <c r="L15" s="453">
        <f>+([4]김포!$F$10*0.4+[4]김포!$F$11+[4]김포!$F$12+[4]김포!$F$13+[4]김포!$F$14)/[4]김포!$F$15</f>
        <v>0.36827897376127333</v>
      </c>
      <c r="M15" s="452">
        <f t="shared" si="2"/>
        <v>0.1058883032073375</v>
      </c>
      <c r="N15" s="351">
        <f>+[4]김포!$E$16</f>
        <v>810</v>
      </c>
      <c r="O15" s="350">
        <f>+[4]김포!$F$16</f>
        <v>846.41200107152406</v>
      </c>
      <c r="P15" s="352">
        <f t="shared" si="3"/>
        <v>36.41200107152406</v>
      </c>
      <c r="Q15" s="351">
        <f>+[4]김포!$E$17</f>
        <v>980</v>
      </c>
      <c r="R15" s="350">
        <f>+[4]김포!$F$17</f>
        <v>908.09429413340422</v>
      </c>
      <c r="S15" s="352">
        <f t="shared" si="4"/>
        <v>-71.905705866595781</v>
      </c>
      <c r="T15" s="451">
        <f>+[4]김포!$E$19</f>
        <v>2.8</v>
      </c>
      <c r="U15" s="450">
        <f>+[4]김포!$F$19</f>
        <v>3.1623680685775502</v>
      </c>
      <c r="V15" s="449">
        <f t="shared" si="5"/>
        <v>0.36236806857755033</v>
      </c>
    </row>
    <row r="16" spans="1:22" ht="24" customHeight="1" x14ac:dyDescent="0.3">
      <c r="D16" s="408" t="s">
        <v>21</v>
      </c>
      <c r="E16" s="358">
        <f>+[4]부산!$E$9</f>
        <v>196.6831105263158</v>
      </c>
      <c r="F16" s="357">
        <f>+[4]부산!$F$9</f>
        <v>191.50220415537518</v>
      </c>
      <c r="G16" s="359">
        <f t="shared" si="0"/>
        <v>-5.1809063709406189</v>
      </c>
      <c r="H16" s="358">
        <f>+[4]부산!$E$15</f>
        <v>385.65315789473686</v>
      </c>
      <c r="I16" s="357">
        <f>+[4]부산!$F$15</f>
        <v>406.22260106142738</v>
      </c>
      <c r="J16" s="359">
        <f t="shared" si="1"/>
        <v>20.569443166690519</v>
      </c>
      <c r="K16" s="460">
        <f>+([4]부산!$E$10*0.4+[4]부산!$E$11+[4]부산!$E$12+[4]부산!$E$13+[4]부산!$E$14)/[4]부산!$E$15</f>
        <v>0.24399999999999999</v>
      </c>
      <c r="L16" s="459">
        <f>+([4]부산!$F$10*0.4+[4]부산!$F$11+[4]부산!$F$12+[4]부산!$F$13+[4]부산!$F$14)/[4]부산!$F$15</f>
        <v>0.2573161649588897</v>
      </c>
      <c r="M16" s="458">
        <f t="shared" si="2"/>
        <v>1.3316164958889709E-2</v>
      </c>
      <c r="N16" s="358">
        <f>+[4]부산!$E$16</f>
        <v>820</v>
      </c>
      <c r="O16" s="357">
        <f>+[4]부산!$F$16</f>
        <v>881.86737804878032</v>
      </c>
      <c r="P16" s="359">
        <f t="shared" si="3"/>
        <v>61.867378048780324</v>
      </c>
      <c r="Q16" s="358">
        <f>+[4]부산!$E$17</f>
        <v>900</v>
      </c>
      <c r="R16" s="357">
        <f>+[4]부산!$F$17</f>
        <v>829.59914182475154</v>
      </c>
      <c r="S16" s="359">
        <f t="shared" si="4"/>
        <v>-70.400858175248459</v>
      </c>
      <c r="T16" s="457">
        <f>+[4]부산!$E$19</f>
        <v>3.4751206057894732</v>
      </c>
      <c r="U16" s="456">
        <f>+[4]부산!$F$19</f>
        <v>3.1543823396567308</v>
      </c>
      <c r="V16" s="455">
        <f t="shared" si="5"/>
        <v>-0.32073826613274248</v>
      </c>
    </row>
    <row r="17" spans="4:22" ht="24" customHeight="1" x14ac:dyDescent="0.3">
      <c r="D17" s="353" t="s">
        <v>22</v>
      </c>
      <c r="E17" s="351">
        <f>+[4]서부산!$E$9</f>
        <v>235</v>
      </c>
      <c r="F17" s="350">
        <f>+[4]서부산!$F$9</f>
        <v>239.00131309702786</v>
      </c>
      <c r="G17" s="352">
        <f t="shared" si="0"/>
        <v>4.001313097027861</v>
      </c>
      <c r="H17" s="351">
        <f>+[4]서부산!$E$15</f>
        <v>363</v>
      </c>
      <c r="I17" s="350">
        <f>+[4]서부산!$F$15</f>
        <v>375.27871017795695</v>
      </c>
      <c r="J17" s="352">
        <f t="shared" si="1"/>
        <v>12.278710177956953</v>
      </c>
      <c r="K17" s="454">
        <f>+([4]서부산!$E$10*0.4+[4]서부산!$E$11+[4]서부산!$E$12+[4]서부산!$E$13+[4]서부산!$E$14)/[4]서부산!$E$15</f>
        <v>0.27658402203856752</v>
      </c>
      <c r="L17" s="453">
        <f>+([4]서부산!$F$10*0.4+[4]서부산!$F$11+[4]서부산!$F$12+[4]서부산!$F$13+[4]서부산!$F$14)/[4]서부산!$F$15</f>
        <v>0.2163175446655442</v>
      </c>
      <c r="M17" s="452">
        <f t="shared" si="2"/>
        <v>-6.0266477373023319E-2</v>
      </c>
      <c r="N17" s="351">
        <f>+[4]서부산!$E$16</f>
        <v>823</v>
      </c>
      <c r="O17" s="350">
        <f>+[4]서부산!$F$16</f>
        <v>831.51166173689603</v>
      </c>
      <c r="P17" s="352">
        <f t="shared" si="3"/>
        <v>8.5116617368960306</v>
      </c>
      <c r="Q17" s="351">
        <f>+[4]서부산!$E$17</f>
        <v>904</v>
      </c>
      <c r="R17" s="350">
        <f>+[4]서부산!$F$17</f>
        <v>897.6349221742712</v>
      </c>
      <c r="S17" s="352">
        <f t="shared" si="4"/>
        <v>-6.3650778257288039</v>
      </c>
      <c r="T17" s="451">
        <f>+[4]서부산!$E$19</f>
        <v>3.2</v>
      </c>
      <c r="U17" s="450">
        <f>+[4]서부산!$F$19</f>
        <v>3.2790748193764232</v>
      </c>
      <c r="V17" s="449">
        <f t="shared" si="5"/>
        <v>7.9074819376423022E-2</v>
      </c>
    </row>
    <row r="18" spans="4:22" ht="24" customHeight="1" x14ac:dyDescent="0.3">
      <c r="D18" s="353" t="s">
        <v>23</v>
      </c>
      <c r="E18" s="351">
        <f>+[4]김해!$E$9</f>
        <v>187</v>
      </c>
      <c r="F18" s="350">
        <f>+[4]김해!$F$9</f>
        <v>183.14200736083421</v>
      </c>
      <c r="G18" s="352">
        <f t="shared" si="0"/>
        <v>-3.8579926391657864</v>
      </c>
      <c r="H18" s="351">
        <f>+[4]김해!$E$15</f>
        <v>340</v>
      </c>
      <c r="I18" s="350">
        <f>+[4]김해!$F$15</f>
        <v>373.70635638705716</v>
      </c>
      <c r="J18" s="352">
        <f t="shared" si="1"/>
        <v>33.706356387057156</v>
      </c>
      <c r="K18" s="454">
        <f>+([4]김해!$E$10*0.4+[4]김해!$E$11+[4]김해!$E$12+[4]김해!$E$13+[4]김해!$E$14)/[4]김해!$E$15</f>
        <v>0.21000000000000002</v>
      </c>
      <c r="L18" s="453">
        <f>+([4]김해!$F$10*0.4+[4]김해!$F$11+[4]김해!$F$12+[4]김해!$F$13+[4]김해!$F$14)/[4]김해!$F$15</f>
        <v>0.27650345065037835</v>
      </c>
      <c r="M18" s="452">
        <f t="shared" si="2"/>
        <v>6.6503450650378326E-2</v>
      </c>
      <c r="N18" s="351">
        <f>+[4]김해!$E$16</f>
        <v>770</v>
      </c>
      <c r="O18" s="350">
        <f>+[4]김해!$F$16</f>
        <v>765.06670756018991</v>
      </c>
      <c r="P18" s="352">
        <f t="shared" si="3"/>
        <v>-4.9332924398100886</v>
      </c>
      <c r="Q18" s="351">
        <f>+[4]김해!$E$17</f>
        <v>950</v>
      </c>
      <c r="R18" s="350">
        <f>+[4]김해!$F$17</f>
        <v>896.36262628431257</v>
      </c>
      <c r="S18" s="352">
        <f t="shared" si="4"/>
        <v>-53.637373715687431</v>
      </c>
      <c r="T18" s="451">
        <f>+[4]김해!$E$19</f>
        <v>3.3</v>
      </c>
      <c r="U18" s="450">
        <f>+[4]김해!$F$19</f>
        <v>3.071646833307776</v>
      </c>
      <c r="V18" s="449">
        <f t="shared" si="5"/>
        <v>-0.22835316669222383</v>
      </c>
    </row>
    <row r="19" spans="4:22" ht="24" customHeight="1" x14ac:dyDescent="0.3">
      <c r="D19" s="353" t="s">
        <v>24</v>
      </c>
      <c r="E19" s="351">
        <f>+[4]정관!$E$9</f>
        <v>246.38056978542065</v>
      </c>
      <c r="F19" s="350">
        <f>+[4]정관!$F$9</f>
        <v>249.93154802259886</v>
      </c>
      <c r="G19" s="352">
        <f t="shared" si="0"/>
        <v>3.5509782371782137</v>
      </c>
      <c r="H19" s="351">
        <f>+[4]정관!$E$15</f>
        <v>362.32436733150092</v>
      </c>
      <c r="I19" s="350">
        <f>+[4]정관!$F$15</f>
        <v>377.66289430894307</v>
      </c>
      <c r="J19" s="352">
        <f t="shared" si="1"/>
        <v>15.338526977442143</v>
      </c>
      <c r="K19" s="454">
        <f>+([4]정관!$E$10*0.4+[4]정관!$E$11+[4]정관!$E$12+[4]정관!$E$13+[4]정관!$E$14)/[4]정관!$E$15</f>
        <v>0.21199999999999997</v>
      </c>
      <c r="L19" s="453">
        <f>+([4]정관!$F$10*0.4+[4]정관!$F$11+[4]정관!$F$12+[4]정관!$F$13+[4]정관!$F$14)/[4]정관!$F$15</f>
        <v>0.2344292022276718</v>
      </c>
      <c r="M19" s="452">
        <f t="shared" si="2"/>
        <v>2.2429202227671835E-2</v>
      </c>
      <c r="N19" s="351">
        <f>+[4]정관!$E$16</f>
        <v>787.26522222222218</v>
      </c>
      <c r="O19" s="350">
        <f>+[4]정관!$F$16</f>
        <v>735.18533829406067</v>
      </c>
      <c r="P19" s="352">
        <f t="shared" si="3"/>
        <v>-52.079883928161507</v>
      </c>
      <c r="Q19" s="351">
        <f>+[4]정관!$E$17</f>
        <v>918.90980828348381</v>
      </c>
      <c r="R19" s="350">
        <f>+[4]정관!$F$17</f>
        <v>995.10541546093407</v>
      </c>
      <c r="S19" s="352">
        <f t="shared" si="4"/>
        <v>76.195607177450256</v>
      </c>
      <c r="T19" s="451">
        <f>+[4]정관!$E$19</f>
        <v>3.0797571223177567</v>
      </c>
      <c r="U19" s="450">
        <f>+[4]정관!$F$19</f>
        <v>3.2479840154333735</v>
      </c>
      <c r="V19" s="449">
        <f t="shared" si="5"/>
        <v>0.16822689311561678</v>
      </c>
    </row>
    <row r="20" spans="4:22" ht="24" customHeight="1" x14ac:dyDescent="0.3">
      <c r="D20" s="353" t="s">
        <v>25</v>
      </c>
      <c r="E20" s="351">
        <f>+[4]양산!$E$9</f>
        <v>227.25768332944466</v>
      </c>
      <c r="F20" s="350">
        <f>+[4]양산!$F$9</f>
        <v>200.48525553213912</v>
      </c>
      <c r="G20" s="352">
        <f t="shared" si="0"/>
        <v>-26.772427797305539</v>
      </c>
      <c r="H20" s="351">
        <f>+[4]양산!$E$15</f>
        <v>356.01978922490633</v>
      </c>
      <c r="I20" s="350">
        <f>+[4]양산!$F$15</f>
        <v>351.51715489989465</v>
      </c>
      <c r="J20" s="352">
        <f t="shared" si="1"/>
        <v>-4.5026343250116838</v>
      </c>
      <c r="K20" s="454">
        <f>+([4]양산!$E$10*0.4+[4]양산!$E$11+[4]양산!$E$12+[4]양산!$E$13+[4]양산!$E$14)/[4]양산!$E$15</f>
        <v>0.36167120422095284</v>
      </c>
      <c r="L20" s="453">
        <f>+([4]양산!$F$10*0.4+[4]양산!$F$11+[4]양산!$F$12+[4]양산!$F$13+[4]양산!$F$14)/[4]양산!$F$15</f>
        <v>0.42965726497976042</v>
      </c>
      <c r="M20" s="452">
        <f t="shared" si="2"/>
        <v>6.7986060758807587E-2</v>
      </c>
      <c r="N20" s="351">
        <f>+[4]양산!$E$16</f>
        <v>771.6</v>
      </c>
      <c r="O20" s="350">
        <f>+[4]양산!$F$16</f>
        <v>720.02634351949473</v>
      </c>
      <c r="P20" s="352">
        <f t="shared" si="3"/>
        <v>-51.573656480505292</v>
      </c>
      <c r="Q20" s="351">
        <f>+[4]양산!$E$17</f>
        <v>877.88719000000003</v>
      </c>
      <c r="R20" s="350">
        <f>+[4]양산!$F$17</f>
        <v>888.6192044257117</v>
      </c>
      <c r="S20" s="352">
        <f t="shared" si="4"/>
        <v>10.732014425711668</v>
      </c>
      <c r="T20" s="451">
        <f>+[4]양산!$E$19</f>
        <v>3.0207015417450371</v>
      </c>
      <c r="U20" s="450">
        <f>+[4]양산!$F$19</f>
        <v>3.099341412012647</v>
      </c>
      <c r="V20" s="449">
        <f t="shared" si="5"/>
        <v>7.8639870267609879E-2</v>
      </c>
    </row>
    <row r="21" spans="4:22" ht="24" customHeight="1" x14ac:dyDescent="0.3">
      <c r="D21" s="353" t="s">
        <v>26</v>
      </c>
      <c r="E21" s="351">
        <f>+[4]창원!$E$9</f>
        <v>253.9</v>
      </c>
      <c r="F21" s="350">
        <f>+[4]창원!$F$9</f>
        <v>228.11900568557459</v>
      </c>
      <c r="G21" s="352">
        <f t="shared" si="0"/>
        <v>-25.780994314425413</v>
      </c>
      <c r="H21" s="351">
        <f>+[4]창원!$E$15</f>
        <v>353.9</v>
      </c>
      <c r="I21" s="350">
        <f>+[4]창원!$F$15</f>
        <v>330.02085548062939</v>
      </c>
      <c r="J21" s="352">
        <f t="shared" si="1"/>
        <v>-23.879144519370584</v>
      </c>
      <c r="K21" s="454">
        <f>+([4]창원!$E$10*0.4+[4]창원!$E$11+[4]창원!$E$12+[4]창원!$E$13+[4]창원!$E$14)/[4]창원!$E$15</f>
        <v>0.28256569652444197</v>
      </c>
      <c r="L21" s="453">
        <f>+([4]창원!$F$10*0.4+[4]창원!$F$11+[4]창원!$F$12+[4]창원!$F$13+[4]창원!$F$14)/[4]창원!$F$15</f>
        <v>0.30877397019848629</v>
      </c>
      <c r="M21" s="452">
        <f t="shared" si="2"/>
        <v>2.6208273674044325E-2</v>
      </c>
      <c r="N21" s="351">
        <f>+[4]창원!$E$16</f>
        <v>846.8</v>
      </c>
      <c r="O21" s="350">
        <f>+[4]창원!$F$16</f>
        <v>759.51024725637978</v>
      </c>
      <c r="P21" s="352">
        <f t="shared" si="3"/>
        <v>-87.28975274362017</v>
      </c>
      <c r="Q21" s="351">
        <f>+[4]창원!$E$17</f>
        <v>885.5</v>
      </c>
      <c r="R21" s="350">
        <f>+[4]창원!$F$17</f>
        <v>930.54938516461766</v>
      </c>
      <c r="S21" s="352">
        <f t="shared" si="4"/>
        <v>45.049385164617661</v>
      </c>
      <c r="T21" s="451">
        <f>+[4]창원!$E$19</f>
        <v>3.08</v>
      </c>
      <c r="U21" s="450">
        <f>+[4]창원!$F$19</f>
        <v>2.4279717043501261</v>
      </c>
      <c r="V21" s="449">
        <f t="shared" si="5"/>
        <v>-0.65202829564987397</v>
      </c>
    </row>
    <row r="22" spans="4:22" ht="24" customHeight="1" x14ac:dyDescent="0.3">
      <c r="D22" s="353" t="s">
        <v>131</v>
      </c>
      <c r="E22" s="351">
        <f>+[4]대구!$E$9</f>
        <v>241.49999999999997</v>
      </c>
      <c r="F22" s="350">
        <f>+[4]대구!$F$9</f>
        <v>274.58352231428984</v>
      </c>
      <c r="G22" s="352">
        <f t="shared" si="0"/>
        <v>33.083522314289866</v>
      </c>
      <c r="H22" s="351">
        <f>+[4]대구!$E$15</f>
        <v>345</v>
      </c>
      <c r="I22" s="350">
        <f>+[4]대구!$F$15</f>
        <v>345.09582933565923</v>
      </c>
      <c r="J22" s="352">
        <f t="shared" si="1"/>
        <v>9.5829335659232129E-2</v>
      </c>
      <c r="K22" s="454">
        <f>+([4]대구!$E$10*0.4+[4]대구!$E$11+[4]대구!$E$12+[4]대구!$E$13+[4]대구!$E$14)/[4]대구!$E$15</f>
        <v>0.3</v>
      </c>
      <c r="L22" s="453">
        <f>+([4]대구!$F$10*0.4+[4]대구!$F$11+[4]대구!$F$12+[4]대구!$F$13+[4]대구!$F$14)/[4]대구!$F$15</f>
        <v>0.18841277082207616</v>
      </c>
      <c r="M22" s="452">
        <f t="shared" si="2"/>
        <v>-0.11158722917792382</v>
      </c>
      <c r="N22" s="351">
        <f>+[4]대구!$E$16</f>
        <v>734.13912938816463</v>
      </c>
      <c r="O22" s="350">
        <f>+[4]대구!$F$16</f>
        <v>687.83907544701299</v>
      </c>
      <c r="P22" s="352">
        <f t="shared" si="3"/>
        <v>-46.300053941151646</v>
      </c>
      <c r="Q22" s="351">
        <f>+[4]대구!$E$17</f>
        <v>973.1611715145433</v>
      </c>
      <c r="R22" s="350">
        <f>+[4]대구!$F$17</f>
        <v>963.34350923099271</v>
      </c>
      <c r="S22" s="352">
        <f t="shared" si="4"/>
        <v>-9.8176622835505896</v>
      </c>
      <c r="T22" s="451">
        <f>+[4]대구!$E$19</f>
        <v>3.105</v>
      </c>
      <c r="U22" s="450">
        <f>+[4]대구!$F$19</f>
        <v>2.7850268934438152</v>
      </c>
      <c r="V22" s="449">
        <f t="shared" si="5"/>
        <v>-0.31997310655618483</v>
      </c>
    </row>
    <row r="23" spans="4:22" ht="24" customHeight="1" x14ac:dyDescent="0.3">
      <c r="D23" s="353" t="s">
        <v>130</v>
      </c>
      <c r="E23" s="351">
        <f>+[4]울산!$E$9</f>
        <v>254</v>
      </c>
      <c r="F23" s="350">
        <f>+[4]울산!$F$9</f>
        <v>261.18141040597305</v>
      </c>
      <c r="G23" s="352">
        <f t="shared" si="0"/>
        <v>7.1814104059730539</v>
      </c>
      <c r="H23" s="351">
        <f>+[4]울산!$E$15</f>
        <v>362.9</v>
      </c>
      <c r="I23" s="350">
        <f>+[4]울산!$F$15</f>
        <v>386.55297246850233</v>
      </c>
      <c r="J23" s="352">
        <f t="shared" si="1"/>
        <v>23.652972468502355</v>
      </c>
      <c r="K23" s="454">
        <f>+([4]울산!$E$10*0.4+[4]울산!$E$11+[4]울산!$E$12+[4]울산!$E$13+[4]울산!$E$14)/[4]울산!$E$15</f>
        <v>0.30008266740148803</v>
      </c>
      <c r="L23" s="453">
        <f>+([4]울산!$F$10*0.4+[4]울산!$F$11+[4]울산!$F$12+[4]울산!$F$13+[4]울산!$F$14)/[4]울산!$F$15</f>
        <v>0.32433216400307197</v>
      </c>
      <c r="M23" s="452">
        <f t="shared" si="2"/>
        <v>2.4249496601583931E-2</v>
      </c>
      <c r="N23" s="351">
        <f>+[4]울산!$E$16</f>
        <v>799</v>
      </c>
      <c r="O23" s="350">
        <f>+[4]울산!$F$16</f>
        <v>683.28184787680823</v>
      </c>
      <c r="P23" s="352">
        <f t="shared" si="3"/>
        <v>-115.71815212319177</v>
      </c>
      <c r="Q23" s="351">
        <f>+[4]울산!$E$17</f>
        <v>901</v>
      </c>
      <c r="R23" s="350">
        <f>+[4]울산!$F$17</f>
        <v>859.56637890807292</v>
      </c>
      <c r="S23" s="352">
        <f t="shared" si="4"/>
        <v>-41.43362109192708</v>
      </c>
      <c r="T23" s="451">
        <f>+[4]울산!$E$19</f>
        <v>3.27</v>
      </c>
      <c r="U23" s="450">
        <f>+[4]울산!$F$19</f>
        <v>3.1163205786280912</v>
      </c>
      <c r="V23" s="449">
        <f t="shared" si="5"/>
        <v>-0.15367942137190882</v>
      </c>
    </row>
    <row r="24" spans="4:22" ht="24" customHeight="1" x14ac:dyDescent="0.3">
      <c r="D24" s="408" t="s">
        <v>27</v>
      </c>
      <c r="E24" s="358">
        <f>+[4]아산!$E$9</f>
        <v>268.77619047619049</v>
      </c>
      <c r="F24" s="357">
        <f>+[4]아산!$F$9</f>
        <v>308.21383888066475</v>
      </c>
      <c r="G24" s="359">
        <f t="shared" si="0"/>
        <v>39.43764840447426</v>
      </c>
      <c r="H24" s="358">
        <f>+[4]아산!$E$15</f>
        <v>378.94761904761913</v>
      </c>
      <c r="I24" s="357">
        <f>+[4]아산!$F$15</f>
        <v>393.79600496633407</v>
      </c>
      <c r="J24" s="359">
        <f t="shared" si="1"/>
        <v>14.848385918714939</v>
      </c>
      <c r="K24" s="460">
        <f>+([4]아산!$E$10*0.4+[4]아산!$E$11+[4]아산!$E$12+[4]아산!$E$13+[4]아산!$E$14)/[4]아산!$E$15</f>
        <v>0.23831412809912161</v>
      </c>
      <c r="L24" s="459">
        <f>+([4]아산!$F$10*0.4+[4]아산!$F$11+[4]아산!$F$12+[4]아산!$F$13+[4]아산!$F$14)/[4]아산!$F$15</f>
        <v>0.2145940661674676</v>
      </c>
      <c r="M24" s="458">
        <f t="shared" si="2"/>
        <v>-2.3720061931654018E-2</v>
      </c>
      <c r="N24" s="358">
        <f>+[4]아산!$E$16</f>
        <v>869</v>
      </c>
      <c r="O24" s="357">
        <f>+[4]아산!$F$16</f>
        <v>784.54495377489116</v>
      </c>
      <c r="P24" s="359">
        <f t="shared" si="3"/>
        <v>-84.455046225108845</v>
      </c>
      <c r="Q24" s="358">
        <f>+[4]아산!$E$17</f>
        <v>872</v>
      </c>
      <c r="R24" s="357">
        <f>+[4]아산!$F$17</f>
        <v>975.20537070818</v>
      </c>
      <c r="S24" s="359">
        <f t="shared" si="4"/>
        <v>103.20537070818</v>
      </c>
      <c r="T24" s="457">
        <f>+[4]아산!$E$19</f>
        <v>2.8</v>
      </c>
      <c r="U24" s="456">
        <f>+[4]아산!$F$19</f>
        <v>3.2546320615061393</v>
      </c>
      <c r="V24" s="455">
        <f t="shared" si="5"/>
        <v>0.45463206150613944</v>
      </c>
    </row>
    <row r="25" spans="4:22" ht="24" customHeight="1" x14ac:dyDescent="0.3">
      <c r="D25" s="353" t="s">
        <v>129</v>
      </c>
      <c r="E25" s="351">
        <f>+[4]전주!$E$9</f>
        <v>222.15</v>
      </c>
      <c r="F25" s="350">
        <f>+[4]전주!$F$9</f>
        <v>233.49780096591093</v>
      </c>
      <c r="G25" s="352">
        <f t="shared" si="0"/>
        <v>11.34780096591092</v>
      </c>
      <c r="H25" s="351">
        <f>+[4]전주!$E$15</f>
        <v>332.62</v>
      </c>
      <c r="I25" s="350">
        <f>+[4]전주!$F$15</f>
        <v>359.25132936158201</v>
      </c>
      <c r="J25" s="352">
        <f t="shared" si="1"/>
        <v>26.631329361582004</v>
      </c>
      <c r="K25" s="454">
        <f>+([4]전주!$E$10*0.4+[4]전주!$E$11+[4]전주!$E$12+[4]전주!$E$13+[4]전주!$E$14)/[4]전주!$E$15</f>
        <v>0.27353135710420301</v>
      </c>
      <c r="L25" s="453">
        <f>+([4]전주!$F$10*0.4+[4]전주!$F$11+[4]전주!$F$12+[4]전주!$F$13+[4]전주!$F$14)/[4]전주!$F$15</f>
        <v>0.31523879826988027</v>
      </c>
      <c r="M25" s="452">
        <f t="shared" si="2"/>
        <v>4.1707441165677261E-2</v>
      </c>
      <c r="N25" s="351">
        <f>+[4]전주!$E$16</f>
        <v>742.15</v>
      </c>
      <c r="O25" s="350">
        <f>+[4]전주!$F$16</f>
        <v>648.15419325272308</v>
      </c>
      <c r="P25" s="352">
        <f t="shared" si="3"/>
        <v>-93.995806747276902</v>
      </c>
      <c r="Q25" s="351">
        <f>+[4]전주!$E$17</f>
        <v>992.18</v>
      </c>
      <c r="R25" s="350">
        <f>+[4]전주!$F$17</f>
        <v>1077.0007402968236</v>
      </c>
      <c r="S25" s="352">
        <f t="shared" si="4"/>
        <v>84.820740296823601</v>
      </c>
      <c r="T25" s="451">
        <f>+[4]전주!$E$19</f>
        <v>2.23</v>
      </c>
      <c r="U25" s="450">
        <f>+[4]전주!$F$19</f>
        <v>2.4497056438819751</v>
      </c>
      <c r="V25" s="449">
        <f t="shared" si="5"/>
        <v>0.21970564388197511</v>
      </c>
    </row>
    <row r="26" spans="4:22" ht="24" customHeight="1" x14ac:dyDescent="0.3">
      <c r="D26" s="353" t="s">
        <v>128</v>
      </c>
      <c r="E26" s="351">
        <f>+[4]군산!$E$9</f>
        <v>260.7</v>
      </c>
      <c r="F26" s="350">
        <f>+[4]군산!$F$9</f>
        <v>252.64012165097759</v>
      </c>
      <c r="G26" s="352">
        <f t="shared" si="0"/>
        <v>-8.059878349022398</v>
      </c>
      <c r="H26" s="351">
        <f>+[4]군산!$E$15</f>
        <v>348.70000000000005</v>
      </c>
      <c r="I26" s="350">
        <f>+[4]군산!$F$15</f>
        <v>337.63274149167273</v>
      </c>
      <c r="J26" s="352">
        <f t="shared" si="1"/>
        <v>-11.067258508327313</v>
      </c>
      <c r="K26" s="454">
        <f>+([4]군산!$E$10*0.4+[4]군산!$E$11+[4]군산!$E$12+[4]군산!$E$13+[4]군산!$E$14)/[4]군산!$E$15</f>
        <v>0.24840837396042442</v>
      </c>
      <c r="L26" s="453">
        <f>+([4]군산!$F$10*0.4+[4]군산!$F$11+[4]군산!$F$12+[4]군산!$F$13+[4]군산!$F$14)/[4]군산!$F$15</f>
        <v>0.24766106227845067</v>
      </c>
      <c r="M26" s="452">
        <f t="shared" si="2"/>
        <v>-7.4731168197375575E-4</v>
      </c>
      <c r="N26" s="351">
        <f>+[4]군산!$E$16</f>
        <v>810</v>
      </c>
      <c r="O26" s="350">
        <f>+[4]군산!$F$16</f>
        <v>849.09485879797262</v>
      </c>
      <c r="P26" s="352">
        <f t="shared" si="3"/>
        <v>39.09485879797262</v>
      </c>
      <c r="Q26" s="351">
        <f>+[4]군산!$E$17</f>
        <v>905</v>
      </c>
      <c r="R26" s="350">
        <f>+[4]군산!$F$17</f>
        <v>827.61766835626327</v>
      </c>
      <c r="S26" s="352">
        <f t="shared" si="4"/>
        <v>-77.382331643736734</v>
      </c>
      <c r="T26" s="451">
        <f>+[4]군산!$E$19</f>
        <v>2.82</v>
      </c>
      <c r="U26" s="450">
        <f>+[4]군산!$F$19</f>
        <v>2.8120926864590885</v>
      </c>
      <c r="V26" s="449">
        <f t="shared" si="5"/>
        <v>-7.9073135409113426E-3</v>
      </c>
    </row>
    <row r="27" spans="4:22" ht="24" customHeight="1" x14ac:dyDescent="0.3">
      <c r="D27" s="353" t="s">
        <v>127</v>
      </c>
      <c r="E27" s="351">
        <f>+[4]원주!$E$9</f>
        <v>267.5</v>
      </c>
      <c r="F27" s="350">
        <f>+[4]원주!$F$9</f>
        <v>266.34133410942962</v>
      </c>
      <c r="G27" s="352">
        <f t="shared" si="0"/>
        <v>-1.1586658905703757</v>
      </c>
      <c r="H27" s="351">
        <f>+[4]원주!$E$15</f>
        <v>353.4</v>
      </c>
      <c r="I27" s="350">
        <f>+[4]원주!$F$15</f>
        <v>368.60211175785804</v>
      </c>
      <c r="J27" s="352">
        <f t="shared" si="1"/>
        <v>15.202111757858063</v>
      </c>
      <c r="K27" s="454">
        <f>+([4]원주!$E$10*0.4+[4]원주!$E$11+[4]원주!$E$12+[4]원주!$E$13+[4]원주!$E$14)/[4]원주!$E$15</f>
        <v>0.24306734578381439</v>
      </c>
      <c r="L27" s="453">
        <f>+([4]원주!$F$10*0.4+[4]원주!$F$11+[4]원주!$F$12+[4]원주!$F$13+[4]원주!$F$14)/[4]원주!$F$15</f>
        <v>0.27742862665856222</v>
      </c>
      <c r="M27" s="452">
        <f t="shared" si="2"/>
        <v>3.4361280874747824E-2</v>
      </c>
      <c r="N27" s="351">
        <f>+[4]원주!$E$16</f>
        <v>837.86</v>
      </c>
      <c r="O27" s="350">
        <f>+[4]원주!$F$16</f>
        <v>878.24447031431896</v>
      </c>
      <c r="P27" s="352">
        <f t="shared" si="3"/>
        <v>40.384470314318946</v>
      </c>
      <c r="Q27" s="351">
        <f>+[4]원주!$E$17</f>
        <v>921.01</v>
      </c>
      <c r="R27" s="350">
        <f>+[4]원주!$F$17</f>
        <v>859.31199068684521</v>
      </c>
      <c r="S27" s="352">
        <f t="shared" si="4"/>
        <v>-61.698009313154785</v>
      </c>
      <c r="T27" s="451">
        <f>+[4]원주!$E$19</f>
        <v>2.9380000000000002</v>
      </c>
      <c r="U27" s="450">
        <f>+[4]원주!$F$19</f>
        <v>2.8103376018626309</v>
      </c>
      <c r="V27" s="449">
        <f t="shared" si="5"/>
        <v>-0.12766239813736924</v>
      </c>
    </row>
    <row r="28" spans="4:22" ht="24" customHeight="1" x14ac:dyDescent="0.3">
      <c r="D28" s="348" t="s">
        <v>126</v>
      </c>
      <c r="E28" s="346">
        <f>+[4]제주!$E$9</f>
        <v>281.39999999999998</v>
      </c>
      <c r="F28" s="445">
        <f>+[4]제주!$F$9</f>
        <v>355.77468620403653</v>
      </c>
      <c r="G28" s="347">
        <f t="shared" si="0"/>
        <v>74.37468620403655</v>
      </c>
      <c r="H28" s="346">
        <f>+[4]제주!$E$15</f>
        <v>350</v>
      </c>
      <c r="I28" s="445">
        <f>+[4]제주!$F$15</f>
        <v>360.59967929223114</v>
      </c>
      <c r="J28" s="347">
        <f t="shared" si="1"/>
        <v>10.599679292231144</v>
      </c>
      <c r="K28" s="448">
        <f>+([4]제주!$E$10*0.4+[4]제주!$E$11+[4]제주!$E$12+[4]제주!$E$13+[4]제주!$E$14)/[4]제주!$E$15</f>
        <v>7.8399999999999997E-2</v>
      </c>
      <c r="L28" s="447">
        <f>+([4]제주!$F$10*0.4+[4]제주!$F$11+[4]제주!$F$12+[4]제주!$F$13+[4]제주!$F$14)/[4]제주!$F$15</f>
        <v>5.352187886206573E-3</v>
      </c>
      <c r="M28" s="446">
        <f t="shared" si="2"/>
        <v>-7.3047812113793423E-2</v>
      </c>
      <c r="N28" s="346">
        <f>+[4]제주!$E$16</f>
        <v>708.9</v>
      </c>
      <c r="O28" s="445">
        <f>+[4]제주!$F$16</f>
        <v>848.7392867016863</v>
      </c>
      <c r="P28" s="347">
        <f t="shared" si="3"/>
        <v>139.83928670168632</v>
      </c>
      <c r="Q28" s="346">
        <f>+[4]제주!$E$17</f>
        <v>996.5</v>
      </c>
      <c r="R28" s="445">
        <f>+[4]제주!$F$17</f>
        <v>896.99336466685099</v>
      </c>
      <c r="S28" s="347">
        <f t="shared" si="4"/>
        <v>-99.506635333149006</v>
      </c>
      <c r="T28" s="444">
        <f>+[4]제주!$E$19</f>
        <v>2.7</v>
      </c>
      <c r="U28" s="443">
        <f>+[4]제주!$F$19</f>
        <v>4.0253469726292499</v>
      </c>
      <c r="V28" s="442">
        <f t="shared" si="5"/>
        <v>1.3253469726292497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E8E1-21AD-4CCE-8D71-F6C81079BE8B}">
  <sheetPr>
    <tabColor theme="1" tint="0.34998626667073579"/>
    <pageSetUpPr fitToPage="1"/>
  </sheetPr>
  <dimension ref="D3:AZ55"/>
  <sheetViews>
    <sheetView showGridLines="0" topLeftCell="A4" zoomScale="70" zoomScaleNormal="70" workbookViewId="0">
      <pane ySplit="6" topLeftCell="A23" activePane="bottomLeft" state="frozenSplit"/>
      <selection pane="bottomLeft" activeCell="I36" sqref="I36"/>
    </sheetView>
  </sheetViews>
  <sheetFormatPr defaultRowHeight="16.5" x14ac:dyDescent="0.3"/>
  <cols>
    <col min="1" max="3" width="5.625" style="6" customWidth="1"/>
    <col min="4" max="5" width="13" style="6" customWidth="1"/>
    <col min="6" max="15" width="15.75" style="6" customWidth="1"/>
    <col min="16" max="17" width="3.25" style="500" customWidth="1"/>
    <col min="18" max="18" width="9" style="6"/>
    <col min="19" max="39" width="10.25" style="6" hidden="1" customWidth="1"/>
    <col min="40" max="16384" width="9" style="6"/>
  </cols>
  <sheetData>
    <row r="3" spans="4:17" ht="9.9499999999999993" customHeight="1" x14ac:dyDescent="0.3"/>
    <row r="5" spans="4:17" ht="9.9499999999999993" customHeight="1" x14ac:dyDescent="0.3"/>
    <row r="6" spans="4:17" ht="31.5" x14ac:dyDescent="0.3">
      <c r="D6" s="398" t="s">
        <v>223</v>
      </c>
      <c r="F6" s="398"/>
      <c r="G6" s="398"/>
      <c r="H6" s="398"/>
      <c r="I6" s="398"/>
      <c r="J6" s="398"/>
      <c r="K6" s="398"/>
      <c r="L6" s="398"/>
      <c r="M6" s="398"/>
    </row>
    <row r="7" spans="4:17" ht="21.95" customHeight="1" thickBot="1" x14ac:dyDescent="0.35">
      <c r="D7" s="501"/>
      <c r="O7" s="397" t="s">
        <v>166</v>
      </c>
    </row>
    <row r="8" spans="4:17" ht="25.5" customHeight="1" thickTop="1" x14ac:dyDescent="0.3">
      <c r="D8" s="613" t="s">
        <v>11</v>
      </c>
      <c r="E8" s="614"/>
      <c r="F8" s="617" t="s">
        <v>207</v>
      </c>
      <c r="G8" s="618"/>
      <c r="H8" s="618"/>
      <c r="I8" s="618"/>
      <c r="J8" s="619"/>
      <c r="K8" s="587" t="s">
        <v>211</v>
      </c>
      <c r="L8" s="587"/>
      <c r="M8" s="587"/>
      <c r="N8" s="587"/>
      <c r="O8" s="590"/>
      <c r="P8" s="502"/>
      <c r="Q8" s="502"/>
    </row>
    <row r="9" spans="4:17" ht="25.5" customHeight="1" x14ac:dyDescent="0.3">
      <c r="D9" s="615"/>
      <c r="E9" s="616"/>
      <c r="F9" s="503" t="s">
        <v>36</v>
      </c>
      <c r="G9" s="504" t="s">
        <v>37</v>
      </c>
      <c r="H9" s="505" t="s">
        <v>56</v>
      </c>
      <c r="I9" s="504" t="s">
        <v>39</v>
      </c>
      <c r="J9" s="506" t="s">
        <v>57</v>
      </c>
      <c r="K9" s="505" t="s">
        <v>36</v>
      </c>
      <c r="L9" s="504" t="s">
        <v>37</v>
      </c>
      <c r="M9" s="505" t="s">
        <v>56</v>
      </c>
      <c r="N9" s="504" t="s">
        <v>39</v>
      </c>
      <c r="O9" s="507" t="s">
        <v>57</v>
      </c>
      <c r="P9" s="502"/>
      <c r="Q9" s="502"/>
    </row>
    <row r="10" spans="4:17" ht="25.5" customHeight="1" x14ac:dyDescent="0.3">
      <c r="D10" s="508" t="s">
        <v>89</v>
      </c>
      <c r="E10" s="509" t="s">
        <v>69</v>
      </c>
      <c r="F10" s="510">
        <f>+IFERROR(HLOOKUP($F$8,[14]손익!$G$5:$AI$63,2,),)</f>
        <v>11000</v>
      </c>
      <c r="G10" s="511">
        <f>+'[6]10월'!$G$8</f>
        <v>6655.6190000000006</v>
      </c>
      <c r="H10" s="512">
        <f>+G10-F10</f>
        <v>-4344.3809999999994</v>
      </c>
      <c r="I10" s="511">
        <f>+IFERROR(HLOOKUP($F$8,[7]월별!$E$2:$T$53,2,),)</f>
        <v>8972.0079999999998</v>
      </c>
      <c r="J10" s="513">
        <f>+G10-I10</f>
        <v>-2316.3889999999992</v>
      </c>
      <c r="K10" s="510">
        <f>+F10+[15]건자재!K10</f>
        <v>111900</v>
      </c>
      <c r="L10" s="511">
        <f>+G10+[15]건자재!L10</f>
        <v>91549.474000000002</v>
      </c>
      <c r="M10" s="512">
        <f>+L10-K10</f>
        <v>-20350.525999999998</v>
      </c>
      <c r="N10" s="511">
        <f>+I10+[15]건자재!N10</f>
        <v>86939.351999999999</v>
      </c>
      <c r="O10" s="513">
        <f>+L10-N10</f>
        <v>4610.122000000003</v>
      </c>
      <c r="P10" s="514"/>
      <c r="Q10" s="514"/>
    </row>
    <row r="11" spans="4:17" ht="25.5" customHeight="1" x14ac:dyDescent="0.3">
      <c r="D11" s="515" t="s">
        <v>53</v>
      </c>
      <c r="E11" s="516" t="s">
        <v>168</v>
      </c>
      <c r="F11" s="517">
        <f>+F12/F10*1000</f>
        <v>872727.27272727271</v>
      </c>
      <c r="G11" s="518">
        <f>+G12/G10*1000</f>
        <v>809127.48025390261</v>
      </c>
      <c r="H11" s="519">
        <f t="shared" ref="H11:H28" si="0">+G11-F11</f>
        <v>-63599.792473370093</v>
      </c>
      <c r="I11" s="518">
        <f>+I12/I10*1000</f>
        <v>818946.47731031897</v>
      </c>
      <c r="J11" s="520">
        <f t="shared" ref="J11:J28" si="1">+G11-I11</f>
        <v>-9818.9970564163523</v>
      </c>
      <c r="K11" s="517">
        <f>+K12/K10*1000</f>
        <v>872788.20375335123</v>
      </c>
      <c r="L11" s="518">
        <f>+L12/L10*1000</f>
        <v>774185.34456025378</v>
      </c>
      <c r="M11" s="519">
        <f t="shared" ref="M11:M28" si="2">+L11-K11</f>
        <v>-98602.859193097451</v>
      </c>
      <c r="N11" s="518">
        <f>+N12/N10*1000</f>
        <v>834404.78050722089</v>
      </c>
      <c r="O11" s="520">
        <f t="shared" ref="O11:O28" si="3">+L11-N11</f>
        <v>-60219.435946967104</v>
      </c>
      <c r="P11" s="514"/>
      <c r="Q11" s="514"/>
    </row>
    <row r="12" spans="4:17" ht="25.5" customHeight="1" x14ac:dyDescent="0.3">
      <c r="D12" s="521" t="s">
        <v>169</v>
      </c>
      <c r="E12" s="522" t="s">
        <v>168</v>
      </c>
      <c r="F12" s="523">
        <f>+IFERROR(HLOOKUP($F$8,[14]손익!$G$5:$AI$63,22,),)</f>
        <v>9600000</v>
      </c>
      <c r="G12" s="524">
        <f>+'[6]10월'!$G$9</f>
        <v>5385244.2309999997</v>
      </c>
      <c r="H12" s="525">
        <f t="shared" si="0"/>
        <v>-4214755.7690000003</v>
      </c>
      <c r="I12" s="524">
        <f>+IFERROR(HLOOKUP($F$8,[7]월별!$E$2:$T$53,5,),)</f>
        <v>7347594.3459999999</v>
      </c>
      <c r="J12" s="526">
        <f t="shared" si="1"/>
        <v>-1962350.1150000002</v>
      </c>
      <c r="K12" s="523">
        <f>+F12+[15]건자재!K12</f>
        <v>97665000</v>
      </c>
      <c r="L12" s="524">
        <f>+G12+[15]건자재!L12</f>
        <v>70876261.072999999</v>
      </c>
      <c r="M12" s="525">
        <f t="shared" si="2"/>
        <v>-26788738.927000001</v>
      </c>
      <c r="N12" s="524">
        <f>+I12+[15]건자재!N12</f>
        <v>72542610.923000008</v>
      </c>
      <c r="O12" s="526">
        <f t="shared" si="3"/>
        <v>-1666349.8500000089</v>
      </c>
      <c r="P12" s="514"/>
      <c r="Q12" s="514"/>
    </row>
    <row r="13" spans="4:17" ht="25.5" customHeight="1" x14ac:dyDescent="0.3">
      <c r="D13" s="521"/>
      <c r="E13" s="527" t="s">
        <v>170</v>
      </c>
      <c r="F13" s="528">
        <f>+IFERROR(HLOOKUP($F$8,[14]손익!$G$5:$AI$63,23,),)</f>
        <v>2378568.6143999994</v>
      </c>
      <c r="G13" s="529">
        <f>+'[6]10월'!$J$9</f>
        <v>1538532.2659999998</v>
      </c>
      <c r="H13" s="530">
        <f t="shared" si="0"/>
        <v>-840036.34839999955</v>
      </c>
      <c r="I13" s="529">
        <f>+IFERROR(HLOOKUP($F$8,[7]월별!$E$2:$T$53,6,),)</f>
        <v>1331090.9230000013</v>
      </c>
      <c r="J13" s="531">
        <f t="shared" si="1"/>
        <v>207441.34299999848</v>
      </c>
      <c r="K13" s="528">
        <f>+F13+[15]건자재!K13</f>
        <v>24518477.484800003</v>
      </c>
      <c r="L13" s="529">
        <f>+G13+[15]건자재!L13</f>
        <v>12945105.430999998</v>
      </c>
      <c r="M13" s="530">
        <f t="shared" si="2"/>
        <v>-11573372.053800005</v>
      </c>
      <c r="N13" s="529">
        <f>+I13+[15]건자재!N13</f>
        <v>14068465.402999997</v>
      </c>
      <c r="O13" s="531">
        <f t="shared" si="3"/>
        <v>-1123359.9719999991</v>
      </c>
      <c r="P13" s="514"/>
      <c r="Q13" s="514"/>
    </row>
    <row r="14" spans="4:17" ht="25.5" customHeight="1" x14ac:dyDescent="0.3">
      <c r="D14" s="521"/>
      <c r="E14" s="532" t="s">
        <v>171</v>
      </c>
      <c r="F14" s="533">
        <f>SUM(F12:F13)</f>
        <v>11978568.614399999</v>
      </c>
      <c r="G14" s="534">
        <f>SUM(G12:G13)</f>
        <v>6923776.4969999995</v>
      </c>
      <c r="H14" s="170">
        <f t="shared" si="0"/>
        <v>-5054792.1173999999</v>
      </c>
      <c r="I14" s="534">
        <f>SUM(I12:I13)</f>
        <v>8678685.2690000013</v>
      </c>
      <c r="J14" s="535">
        <f t="shared" si="1"/>
        <v>-1754908.7720000017</v>
      </c>
      <c r="K14" s="533">
        <f>SUM(K12:K13)</f>
        <v>122183477.48480001</v>
      </c>
      <c r="L14" s="534">
        <f>SUM(L12:L13)</f>
        <v>83821366.503999993</v>
      </c>
      <c r="M14" s="170">
        <f t="shared" si="2"/>
        <v>-38362110.980800018</v>
      </c>
      <c r="N14" s="534">
        <f>SUM(N12:N13)</f>
        <v>86611076.326000005</v>
      </c>
      <c r="O14" s="535">
        <f t="shared" si="3"/>
        <v>-2789709.8220000118</v>
      </c>
      <c r="P14" s="514"/>
      <c r="Q14" s="514"/>
    </row>
    <row r="15" spans="4:17" ht="25.5" customHeight="1" x14ac:dyDescent="0.3">
      <c r="D15" s="508" t="s">
        <v>5</v>
      </c>
      <c r="E15" s="509" t="s">
        <v>168</v>
      </c>
      <c r="F15" s="510">
        <f>+IFERROR(HLOOKUP($F$8,[14]손익!$G$5:$AI$63,25,),)</f>
        <v>9369700</v>
      </c>
      <c r="G15" s="511">
        <f>+'[6]10월'!$G$11</f>
        <v>5299389.233</v>
      </c>
      <c r="H15" s="512">
        <f t="shared" si="0"/>
        <v>-4070310.767</v>
      </c>
      <c r="I15" s="511">
        <f>+IFERROR(HLOOKUP($F$8,[7]월별!$E$2:$T$53,8,),)</f>
        <v>7174616.267</v>
      </c>
      <c r="J15" s="513">
        <f t="shared" si="1"/>
        <v>-1875227.034</v>
      </c>
      <c r="K15" s="510">
        <f>+F15+[15]건자재!K15</f>
        <v>95321677.5</v>
      </c>
      <c r="L15" s="511">
        <f>+G15+[15]건자재!L15</f>
        <v>69792020.905999988</v>
      </c>
      <c r="M15" s="512">
        <f t="shared" si="2"/>
        <v>-25529656.594000012</v>
      </c>
      <c r="N15" s="511">
        <f>+I15+[15]건자재!N15</f>
        <v>70988503.151999995</v>
      </c>
      <c r="O15" s="513">
        <f t="shared" si="3"/>
        <v>-1196482.2460000068</v>
      </c>
      <c r="P15" s="514"/>
      <c r="Q15" s="514"/>
    </row>
    <row r="16" spans="4:17" ht="25.5" customHeight="1" x14ac:dyDescent="0.3">
      <c r="D16" s="521"/>
      <c r="E16" s="527" t="s">
        <v>170</v>
      </c>
      <c r="F16" s="528">
        <f>+IFERROR(HLOOKUP($F$8,[14]손익!$G$5:$AI$63,26,),)</f>
        <v>2285906.7168888208</v>
      </c>
      <c r="G16" s="529">
        <f>+'[6]10월'!$J$11</f>
        <v>1494232.9290000005</v>
      </c>
      <c r="H16" s="530">
        <f t="shared" si="0"/>
        <v>-791673.78788882028</v>
      </c>
      <c r="I16" s="529">
        <f>+IFERROR(HLOOKUP($F$8,[7]월별!$E$2:$T$53,9,),)</f>
        <v>1293553.2259999989</v>
      </c>
      <c r="J16" s="531">
        <f t="shared" si="1"/>
        <v>200679.70300000161</v>
      </c>
      <c r="K16" s="528">
        <f>+F16+[15]건자재!K16</f>
        <v>23563311.157424644</v>
      </c>
      <c r="L16" s="529">
        <f>+G16+[15]건자재!L16</f>
        <v>12592690.585000001</v>
      </c>
      <c r="M16" s="530">
        <f t="shared" si="2"/>
        <v>-10970620.572424643</v>
      </c>
      <c r="N16" s="529">
        <f>+I16+[15]건자재!N16</f>
        <v>13711650.497000001</v>
      </c>
      <c r="O16" s="531">
        <f t="shared" si="3"/>
        <v>-1118959.9120000005</v>
      </c>
      <c r="P16" s="514"/>
      <c r="Q16" s="514"/>
    </row>
    <row r="17" spans="4:17" ht="25.5" customHeight="1" x14ac:dyDescent="0.3">
      <c r="D17" s="515"/>
      <c r="E17" s="536" t="s">
        <v>172</v>
      </c>
      <c r="F17" s="537">
        <f>SUM(F15:F16)</f>
        <v>11655606.716888821</v>
      </c>
      <c r="G17" s="538">
        <f>SUM(G15:G16)</f>
        <v>6793622.1620000005</v>
      </c>
      <c r="H17" s="539">
        <f t="shared" si="0"/>
        <v>-4861984.5548888203</v>
      </c>
      <c r="I17" s="538">
        <f>SUM(I15:I16)</f>
        <v>8468169.4929999989</v>
      </c>
      <c r="J17" s="540">
        <f t="shared" si="1"/>
        <v>-1674547.3309999984</v>
      </c>
      <c r="K17" s="537">
        <f>SUM(K15:K16)</f>
        <v>118884988.65742464</v>
      </c>
      <c r="L17" s="538">
        <f>SUM(L15:L16)</f>
        <v>82384711.490999997</v>
      </c>
      <c r="M17" s="539">
        <f t="shared" si="2"/>
        <v>-36500277.166424647</v>
      </c>
      <c r="N17" s="538">
        <f>SUM(N15:N16)</f>
        <v>84700153.648999989</v>
      </c>
      <c r="O17" s="540">
        <f t="shared" si="3"/>
        <v>-2315442.1579999924</v>
      </c>
      <c r="P17" s="514"/>
      <c r="Q17" s="514"/>
    </row>
    <row r="18" spans="4:17" ht="25.5" customHeight="1" x14ac:dyDescent="0.3">
      <c r="D18" s="521" t="s">
        <v>15</v>
      </c>
      <c r="E18" s="522" t="s">
        <v>168</v>
      </c>
      <c r="F18" s="523">
        <f>+F12-F15</f>
        <v>230300</v>
      </c>
      <c r="G18" s="524">
        <f>+G12-G15</f>
        <v>85854.997999999672</v>
      </c>
      <c r="H18" s="525">
        <f t="shared" si="0"/>
        <v>-144445.00200000033</v>
      </c>
      <c r="I18" s="524">
        <f>+I12-I15</f>
        <v>172978.07899999991</v>
      </c>
      <c r="J18" s="526">
        <f t="shared" si="1"/>
        <v>-87123.081000000238</v>
      </c>
      <c r="K18" s="523">
        <f>+K12-K15</f>
        <v>2343322.5</v>
      </c>
      <c r="L18" s="524">
        <f>+L12-L15</f>
        <v>1084240.1670000106</v>
      </c>
      <c r="M18" s="525">
        <f t="shared" si="2"/>
        <v>-1259082.3329999894</v>
      </c>
      <c r="N18" s="524">
        <f>+N12-N15</f>
        <v>1554107.7710000128</v>
      </c>
      <c r="O18" s="526">
        <f t="shared" si="3"/>
        <v>-469867.60400000215</v>
      </c>
      <c r="P18" s="514"/>
      <c r="Q18" s="514"/>
    </row>
    <row r="19" spans="4:17" ht="25.5" customHeight="1" x14ac:dyDescent="0.3">
      <c r="D19" s="521"/>
      <c r="E19" s="541" t="s">
        <v>9</v>
      </c>
      <c r="F19" s="542">
        <f>+F18/F12</f>
        <v>2.3989583333333335E-2</v>
      </c>
      <c r="G19" s="543">
        <f>+G18/G12</f>
        <v>1.5942637755550233E-2</v>
      </c>
      <c r="H19" s="544">
        <f t="shared" si="0"/>
        <v>-8.0469455777831024E-3</v>
      </c>
      <c r="I19" s="543">
        <f>+I18/I12</f>
        <v>2.3542137855523892E-2</v>
      </c>
      <c r="J19" s="545">
        <f t="shared" si="1"/>
        <v>-7.5995000999736599E-3</v>
      </c>
      <c r="K19" s="542">
        <f>+K18/K12</f>
        <v>2.3993472584856398E-2</v>
      </c>
      <c r="L19" s="543">
        <f>+L18/L12</f>
        <v>1.5297649037712108E-2</v>
      </c>
      <c r="M19" s="544">
        <f t="shared" si="2"/>
        <v>-8.69582354714429E-3</v>
      </c>
      <c r="N19" s="543">
        <f>+N18/N12</f>
        <v>2.1423377946095883E-2</v>
      </c>
      <c r="O19" s="545">
        <f t="shared" si="3"/>
        <v>-6.1257289083837749E-3</v>
      </c>
      <c r="P19" s="514"/>
      <c r="Q19" s="514"/>
    </row>
    <row r="20" spans="4:17" ht="25.5" customHeight="1" x14ac:dyDescent="0.3">
      <c r="D20" s="521"/>
      <c r="E20" s="546" t="s">
        <v>170</v>
      </c>
      <c r="F20" s="533">
        <f>+F13-F16</f>
        <v>92661.897511178628</v>
      </c>
      <c r="G20" s="534">
        <f>+G13-G16</f>
        <v>44299.336999999359</v>
      </c>
      <c r="H20" s="170">
        <f t="shared" si="0"/>
        <v>-48362.560511179268</v>
      </c>
      <c r="I20" s="534">
        <f>+I13-I16</f>
        <v>37537.697000002488</v>
      </c>
      <c r="J20" s="535">
        <f t="shared" si="1"/>
        <v>6761.6399999968708</v>
      </c>
      <c r="K20" s="533">
        <f>+K13-K16</f>
        <v>955166.32737535983</v>
      </c>
      <c r="L20" s="534">
        <f>+L13-L16</f>
        <v>352414.84599999711</v>
      </c>
      <c r="M20" s="170">
        <f t="shared" si="2"/>
        <v>-602751.48137536272</v>
      </c>
      <c r="N20" s="534">
        <f>+N13-N16</f>
        <v>356814.90599999577</v>
      </c>
      <c r="O20" s="535">
        <f t="shared" si="3"/>
        <v>-4400.0599999986589</v>
      </c>
      <c r="P20" s="514"/>
      <c r="Q20" s="514"/>
    </row>
    <row r="21" spans="4:17" ht="25.5" customHeight="1" x14ac:dyDescent="0.3">
      <c r="D21" s="521"/>
      <c r="E21" s="547" t="s">
        <v>9</v>
      </c>
      <c r="F21" s="548">
        <f>+F20/F13</f>
        <v>3.8956999999999097E-2</v>
      </c>
      <c r="G21" s="549">
        <f>+G20/G13</f>
        <v>2.879324534101085E-2</v>
      </c>
      <c r="H21" s="550">
        <f t="shared" si="0"/>
        <v>-1.0163754658988246E-2</v>
      </c>
      <c r="I21" s="549">
        <f>+I20/I13</f>
        <v>2.8200700907343241E-2</v>
      </c>
      <c r="J21" s="551">
        <f t="shared" si="1"/>
        <v>5.9254443366760917E-4</v>
      </c>
      <c r="K21" s="548">
        <f>+K20/K13</f>
        <v>3.8957000000000248E-2</v>
      </c>
      <c r="L21" s="549">
        <f>+L20/L13</f>
        <v>2.7223791098376044E-2</v>
      </c>
      <c r="M21" s="550">
        <f t="shared" si="2"/>
        <v>-1.1733208901624204E-2</v>
      </c>
      <c r="N21" s="549">
        <f>+N20/N13</f>
        <v>2.5362745386849912E-2</v>
      </c>
      <c r="O21" s="551">
        <f t="shared" si="3"/>
        <v>1.8610457115261318E-3</v>
      </c>
      <c r="P21" s="514"/>
      <c r="Q21" s="514"/>
    </row>
    <row r="22" spans="4:17" ht="25.5" customHeight="1" x14ac:dyDescent="0.3">
      <c r="D22" s="521"/>
      <c r="E22" s="532" t="s">
        <v>171</v>
      </c>
      <c r="F22" s="533">
        <f>SUM(F18,F20)</f>
        <v>322961.89751117863</v>
      </c>
      <c r="G22" s="534">
        <f>SUM(G18,G20)</f>
        <v>130154.33499999903</v>
      </c>
      <c r="H22" s="170">
        <f t="shared" si="0"/>
        <v>-192807.5625111796</v>
      </c>
      <c r="I22" s="534">
        <f>SUM(I18,I20)</f>
        <v>210515.7760000024</v>
      </c>
      <c r="J22" s="535">
        <f t="shared" si="1"/>
        <v>-80361.441000003368</v>
      </c>
      <c r="K22" s="533">
        <f>SUM(K18,K20)</f>
        <v>3298488.8273753598</v>
      </c>
      <c r="L22" s="534">
        <f>SUM(L18,L20)</f>
        <v>1436655.0130000077</v>
      </c>
      <c r="M22" s="170">
        <f t="shared" si="2"/>
        <v>-1861833.8143753521</v>
      </c>
      <c r="N22" s="534">
        <f>SUM(N18,N20)</f>
        <v>1910922.6770000085</v>
      </c>
      <c r="O22" s="535">
        <f t="shared" si="3"/>
        <v>-474267.6640000008</v>
      </c>
      <c r="P22" s="514"/>
      <c r="Q22" s="514"/>
    </row>
    <row r="23" spans="4:17" ht="25.5" customHeight="1" x14ac:dyDescent="0.3">
      <c r="D23" s="521"/>
      <c r="E23" s="552" t="s">
        <v>9</v>
      </c>
      <c r="F23" s="542">
        <f>+F22/F14</f>
        <v>2.6961643574252351E-2</v>
      </c>
      <c r="G23" s="543">
        <f>+G22/G14</f>
        <v>1.8798171064070824E-2</v>
      </c>
      <c r="H23" s="544">
        <f t="shared" si="0"/>
        <v>-8.163472510181527E-3</v>
      </c>
      <c r="I23" s="543">
        <f>+I22/I14</f>
        <v>2.4256643659144816E-2</v>
      </c>
      <c r="J23" s="545">
        <f t="shared" si="1"/>
        <v>-5.4584725950739925E-3</v>
      </c>
      <c r="K23" s="542">
        <f>+K22/K14</f>
        <v>2.6996193718464935E-2</v>
      </c>
      <c r="L23" s="543">
        <f>+L22/L14</f>
        <v>1.7139484512358194E-2</v>
      </c>
      <c r="M23" s="544">
        <f t="shared" si="2"/>
        <v>-9.856709206106741E-3</v>
      </c>
      <c r="N23" s="543">
        <f>+N22/N14</f>
        <v>2.2063259782240618E-2</v>
      </c>
      <c r="O23" s="545">
        <f t="shared" si="3"/>
        <v>-4.9237752698824237E-3</v>
      </c>
      <c r="P23" s="514"/>
      <c r="Q23" s="514"/>
    </row>
    <row r="24" spans="4:17" ht="25.5" customHeight="1" x14ac:dyDescent="0.3">
      <c r="D24" s="508" t="s">
        <v>173</v>
      </c>
      <c r="E24" s="509" t="s">
        <v>174</v>
      </c>
      <c r="F24" s="510">
        <f>+IFERROR(HLOOKUP($F$8,[14]판매4!$G$4:$U$50,7,),)</f>
        <v>89090.290000000008</v>
      </c>
      <c r="G24" s="511">
        <f>+'[6]10월'!$M$19</f>
        <v>96977.164000000004</v>
      </c>
      <c r="H24" s="512">
        <f t="shared" si="0"/>
        <v>7886.8739999999962</v>
      </c>
      <c r="I24" s="511">
        <f>+IFERROR(HLOOKUP($F$8,[7]월별!$E$2:$T$53,17,),)</f>
        <v>94469.845000000001</v>
      </c>
      <c r="J24" s="513">
        <f t="shared" si="1"/>
        <v>2507.3190000000031</v>
      </c>
      <c r="K24" s="510">
        <f>+F24+[15]건자재!K24</f>
        <v>887726.88000000024</v>
      </c>
      <c r="L24" s="511">
        <f>+G24+[15]건자재!L24</f>
        <v>956902.65</v>
      </c>
      <c r="M24" s="512">
        <f t="shared" si="2"/>
        <v>69175.769999999786</v>
      </c>
      <c r="N24" s="511">
        <f>+I24+[15]건자재!N24</f>
        <v>910366.17099999997</v>
      </c>
      <c r="O24" s="513">
        <f t="shared" si="3"/>
        <v>46536.47900000005</v>
      </c>
      <c r="P24" s="514"/>
      <c r="Q24" s="514"/>
    </row>
    <row r="25" spans="4:17" ht="25.5" customHeight="1" x14ac:dyDescent="0.3">
      <c r="D25" s="521"/>
      <c r="E25" s="527" t="s">
        <v>175</v>
      </c>
      <c r="F25" s="528">
        <f>+IFERROR(HLOOKUP($F$8,[14]판매4!$G$4:$U$50,31,),)+IFERROR(HLOOKUP($F$8,[14]판매4!$G$4:$U$50,34,),)</f>
        <v>33811.058000000005</v>
      </c>
      <c r="G25" s="529">
        <f>+'[6]10월'!$M$37+'[6]10월'!$M$40</f>
        <v>70263.955999999991</v>
      </c>
      <c r="H25" s="530">
        <f t="shared" si="0"/>
        <v>36452.897999999986</v>
      </c>
      <c r="I25" s="529">
        <f>+IFERROR(HLOOKUP($F$8,[7]월별!$E$2:$T$53,35,),)+IFERROR(HLOOKUP($F$8,[7]월별!$E$2:$T$53,38,),)</f>
        <v>72040.602000000014</v>
      </c>
      <c r="J25" s="531">
        <f t="shared" si="1"/>
        <v>-1776.6460000000225</v>
      </c>
      <c r="K25" s="528">
        <f>+F25+[15]건자재!K25</f>
        <v>395529.30000000005</v>
      </c>
      <c r="L25" s="529">
        <f>+G25+[15]건자재!L25</f>
        <v>556502.49699999997</v>
      </c>
      <c r="M25" s="530">
        <f t="shared" si="2"/>
        <v>160973.19699999993</v>
      </c>
      <c r="N25" s="529">
        <f>+I25+[15]건자재!N25</f>
        <v>517052.80699999997</v>
      </c>
      <c r="O25" s="531">
        <f t="shared" si="3"/>
        <v>39449.69</v>
      </c>
      <c r="P25" s="514"/>
      <c r="Q25" s="514"/>
    </row>
    <row r="26" spans="4:17" ht="25.5" customHeight="1" x14ac:dyDescent="0.3">
      <c r="D26" s="515"/>
      <c r="E26" s="536" t="s">
        <v>171</v>
      </c>
      <c r="F26" s="537">
        <f>SUM(F24:F25)</f>
        <v>122901.34800000001</v>
      </c>
      <c r="G26" s="538">
        <f>SUM(G24:G25)</f>
        <v>167241.12</v>
      </c>
      <c r="H26" s="539">
        <f t="shared" si="0"/>
        <v>44339.771999999983</v>
      </c>
      <c r="I26" s="538">
        <f>SUM(I24:I25)</f>
        <v>166510.44700000001</v>
      </c>
      <c r="J26" s="540">
        <f t="shared" si="1"/>
        <v>730.67299999998068</v>
      </c>
      <c r="K26" s="537">
        <f>SUM(K24:K25)</f>
        <v>1283256.1800000002</v>
      </c>
      <c r="L26" s="538">
        <f>SUM(L24:L25)</f>
        <v>1513405.1469999999</v>
      </c>
      <c r="M26" s="539">
        <f t="shared" si="2"/>
        <v>230148.96699999971</v>
      </c>
      <c r="N26" s="538">
        <f>SUM(N24:N25)</f>
        <v>1427418.9779999999</v>
      </c>
      <c r="O26" s="540">
        <f t="shared" si="3"/>
        <v>85986.168999999994</v>
      </c>
      <c r="P26" s="514"/>
      <c r="Q26" s="514"/>
    </row>
    <row r="27" spans="4:17" ht="25.5" customHeight="1" x14ac:dyDescent="0.3">
      <c r="D27" s="521" t="s">
        <v>7</v>
      </c>
      <c r="E27" s="552"/>
      <c r="F27" s="523">
        <f>+F22-F26</f>
        <v>200060.54951117863</v>
      </c>
      <c r="G27" s="524">
        <f>+G22-G26</f>
        <v>-37086.785000000964</v>
      </c>
      <c r="H27" s="525">
        <f t="shared" si="0"/>
        <v>-237147.33451117959</v>
      </c>
      <c r="I27" s="524">
        <f>+I22-I26</f>
        <v>44005.329000002384</v>
      </c>
      <c r="J27" s="526">
        <f t="shared" si="1"/>
        <v>-81092.114000003348</v>
      </c>
      <c r="K27" s="523">
        <f>+K22-K26</f>
        <v>2015232.6473753597</v>
      </c>
      <c r="L27" s="524">
        <f>+L22-L26</f>
        <v>-76750.133999992162</v>
      </c>
      <c r="M27" s="525">
        <f t="shared" si="2"/>
        <v>-2091982.7813753518</v>
      </c>
      <c r="N27" s="524">
        <f>+N22-N26</f>
        <v>483503.69900000864</v>
      </c>
      <c r="O27" s="526">
        <f t="shared" si="3"/>
        <v>-560253.8330000008</v>
      </c>
      <c r="P27" s="514"/>
      <c r="Q27" s="514"/>
    </row>
    <row r="28" spans="4:17" ht="25.5" customHeight="1" thickBot="1" x14ac:dyDescent="0.35">
      <c r="D28" s="521"/>
      <c r="E28" s="553" t="s">
        <v>10</v>
      </c>
      <c r="F28" s="554">
        <f>+F27/F14</f>
        <v>1.6701540555578272E-2</v>
      </c>
      <c r="G28" s="555">
        <f>+G27/G14</f>
        <v>-5.3564387897371158E-3</v>
      </c>
      <c r="H28" s="556">
        <f t="shared" si="0"/>
        <v>-2.2057979345315386E-2</v>
      </c>
      <c r="I28" s="555">
        <f>+I27/I14</f>
        <v>5.0705063769495217E-3</v>
      </c>
      <c r="J28" s="557">
        <f t="shared" si="1"/>
        <v>-1.0426945166686637E-2</v>
      </c>
      <c r="K28" s="554">
        <f>+K27/K14</f>
        <v>1.6493495592528544E-2</v>
      </c>
      <c r="L28" s="555">
        <f>+L27/L14</f>
        <v>-9.1563926002482447E-4</v>
      </c>
      <c r="M28" s="556">
        <f t="shared" si="2"/>
        <v>-1.7409134852553368E-2</v>
      </c>
      <c r="N28" s="555">
        <f>+N27/N14</f>
        <v>5.5824695813745983E-3</v>
      </c>
      <c r="O28" s="557">
        <f t="shared" si="3"/>
        <v>-6.4981088413994231E-3</v>
      </c>
      <c r="P28" s="514"/>
      <c r="Q28" s="514"/>
    </row>
    <row r="29" spans="4:17" ht="25.5" customHeight="1" thickTop="1" x14ac:dyDescent="0.3">
      <c r="D29" s="620" t="s">
        <v>202</v>
      </c>
      <c r="E29" s="621"/>
      <c r="F29" s="152"/>
      <c r="G29" s="152"/>
      <c r="H29" s="152"/>
      <c r="I29" s="152"/>
      <c r="J29" s="152"/>
      <c r="K29" s="152"/>
      <c r="L29" s="152"/>
      <c r="M29" s="152"/>
      <c r="N29" s="71"/>
      <c r="O29" s="352"/>
      <c r="P29" s="514"/>
      <c r="Q29" s="514"/>
    </row>
    <row r="30" spans="4:17" ht="25.5" customHeight="1" x14ac:dyDescent="0.3">
      <c r="D30" s="622"/>
      <c r="E30" s="623"/>
      <c r="F30" s="152"/>
      <c r="G30" s="152"/>
      <c r="H30" s="152"/>
      <c r="I30" s="152"/>
      <c r="J30" s="152"/>
      <c r="K30" s="152"/>
      <c r="L30" s="152"/>
      <c r="M30" s="152"/>
      <c r="N30" s="71"/>
      <c r="O30" s="352"/>
      <c r="P30" s="514"/>
      <c r="Q30" s="514"/>
    </row>
    <row r="31" spans="4:17" ht="25.5" customHeight="1" x14ac:dyDescent="0.3">
      <c r="D31" s="622"/>
      <c r="E31" s="623"/>
      <c r="F31" s="152"/>
      <c r="G31" s="152"/>
      <c r="H31" s="152"/>
      <c r="I31" s="152"/>
      <c r="J31" s="152"/>
      <c r="K31" s="152"/>
      <c r="L31" s="152"/>
      <c r="M31" s="152"/>
      <c r="N31" s="71"/>
      <c r="O31" s="352"/>
      <c r="P31" s="514"/>
      <c r="Q31" s="514"/>
    </row>
    <row r="32" spans="4:17" ht="25.5" customHeight="1" x14ac:dyDescent="0.3">
      <c r="D32" s="622"/>
      <c r="E32" s="623"/>
      <c r="F32" s="152"/>
      <c r="G32" s="152"/>
      <c r="H32" s="152"/>
      <c r="I32" s="152"/>
      <c r="J32" s="152"/>
      <c r="K32" s="152"/>
      <c r="L32" s="152"/>
      <c r="M32" s="152"/>
      <c r="N32" s="71"/>
      <c r="O32" s="352"/>
      <c r="P32" s="514"/>
      <c r="Q32" s="514"/>
    </row>
    <row r="33" spans="4:52" ht="25.5" customHeight="1" x14ac:dyDescent="0.3">
      <c r="D33" s="622"/>
      <c r="E33" s="623"/>
      <c r="F33" s="152"/>
      <c r="G33" s="152"/>
      <c r="H33" s="152"/>
      <c r="I33" s="152"/>
      <c r="J33" s="152"/>
      <c r="K33" s="152"/>
      <c r="L33" s="152"/>
      <c r="M33" s="152"/>
      <c r="N33" s="71"/>
      <c r="O33" s="352"/>
      <c r="P33" s="514"/>
      <c r="Q33" s="514"/>
    </row>
    <row r="34" spans="4:52" ht="25.5" customHeight="1" x14ac:dyDescent="0.3">
      <c r="D34" s="624"/>
      <c r="E34" s="625"/>
      <c r="F34" s="344"/>
      <c r="G34" s="344"/>
      <c r="H34" s="344"/>
      <c r="I34" s="344"/>
      <c r="J34" s="344"/>
      <c r="K34" s="344"/>
      <c r="L34" s="344"/>
      <c r="M34" s="344"/>
      <c r="N34" s="558"/>
      <c r="O34" s="347"/>
      <c r="R34" s="6" t="s">
        <v>176</v>
      </c>
    </row>
    <row r="35" spans="4:52" ht="21.95" customHeight="1" x14ac:dyDescent="0.3"/>
    <row r="36" spans="4:52" ht="21.95" customHeight="1" x14ac:dyDescent="0.3">
      <c r="F36" s="6">
        <f>+IFERROR(HLOOKUP($F$8,[14]손익!$G$5:$AJ$65,17,),)</f>
        <v>200060.5495111786</v>
      </c>
      <c r="G36" s="6">
        <f>+'[6]10월'!$M$41</f>
        <v>-37086.785000000964</v>
      </c>
      <c r="I36" s="6">
        <f>+IFERROR(HLOOKUP($F$8,[7]월별!$E$2:$T$53,39,),)</f>
        <v>44005.329000002384</v>
      </c>
      <c r="R36" s="559"/>
      <c r="S36" s="560" t="s">
        <v>177</v>
      </c>
      <c r="T36" s="560" t="s">
        <v>178</v>
      </c>
      <c r="U36" s="560" t="s">
        <v>179</v>
      </c>
      <c r="V36" s="560" t="s">
        <v>180</v>
      </c>
      <c r="W36" s="560" t="s">
        <v>167</v>
      </c>
      <c r="X36" s="560" t="s">
        <v>160</v>
      </c>
      <c r="Y36" s="560" t="s">
        <v>181</v>
      </c>
      <c r="Z36" s="560" t="s">
        <v>182</v>
      </c>
      <c r="AA36" s="560" t="s">
        <v>183</v>
      </c>
      <c r="AB36" s="560" t="s">
        <v>184</v>
      </c>
      <c r="AC36" s="560" t="s">
        <v>185</v>
      </c>
      <c r="AD36" s="560" t="s">
        <v>186</v>
      </c>
      <c r="AE36" s="560" t="s">
        <v>177</v>
      </c>
      <c r="AF36" s="560" t="s">
        <v>187</v>
      </c>
      <c r="AG36" s="560" t="s">
        <v>188</v>
      </c>
      <c r="AH36" s="560" t="s">
        <v>189</v>
      </c>
      <c r="AI36" s="560" t="s">
        <v>167</v>
      </c>
      <c r="AJ36" s="560" t="s">
        <v>160</v>
      </c>
      <c r="AK36" s="560" t="s">
        <v>181</v>
      </c>
      <c r="AL36" s="560" t="s">
        <v>190</v>
      </c>
      <c r="AM36" s="560" t="s">
        <v>183</v>
      </c>
      <c r="AN36" s="560" t="s">
        <v>184</v>
      </c>
      <c r="AO36" s="560" t="s">
        <v>191</v>
      </c>
      <c r="AP36" s="560" t="s">
        <v>192</v>
      </c>
      <c r="AQ36" s="560" t="s">
        <v>186</v>
      </c>
      <c r="AR36" s="560" t="s">
        <v>187</v>
      </c>
      <c r="AS36" s="560" t="s">
        <v>179</v>
      </c>
      <c r="AT36" s="560" t="s">
        <v>180</v>
      </c>
      <c r="AU36" s="560" t="s">
        <v>193</v>
      </c>
      <c r="AV36" s="560" t="s">
        <v>197</v>
      </c>
      <c r="AW36" s="560" t="s">
        <v>181</v>
      </c>
      <c r="AX36" s="560" t="s">
        <v>190</v>
      </c>
      <c r="AY36" s="560" t="s">
        <v>204</v>
      </c>
      <c r="AZ36" s="560" t="s">
        <v>184</v>
      </c>
    </row>
    <row r="37" spans="4:52" ht="21.95" customHeight="1" x14ac:dyDescent="0.3">
      <c r="F37" s="6" t="b">
        <f>+F27=F36</f>
        <v>1</v>
      </c>
      <c r="G37" s="6" t="b">
        <f>+G27=G36</f>
        <v>1</v>
      </c>
      <c r="I37" s="6" t="b">
        <f>+I27=I36</f>
        <v>1</v>
      </c>
      <c r="R37" s="561" t="s">
        <v>194</v>
      </c>
      <c r="S37" s="562" t="s">
        <v>177</v>
      </c>
      <c r="T37" s="562" t="s">
        <v>178</v>
      </c>
      <c r="U37" s="562">
        <v>3</v>
      </c>
      <c r="V37" s="562" t="s">
        <v>180</v>
      </c>
      <c r="W37" s="562" t="s">
        <v>167</v>
      </c>
      <c r="X37" s="562" t="s">
        <v>160</v>
      </c>
      <c r="Y37" s="562" t="s">
        <v>181</v>
      </c>
      <c r="Z37" s="562" t="str">
        <f t="shared" ref="Z37:AU37" si="4">+Z36</f>
        <v>8월</v>
      </c>
      <c r="AA37" s="562" t="str">
        <f t="shared" si="4"/>
        <v>9월</v>
      </c>
      <c r="AB37" s="562" t="str">
        <f t="shared" si="4"/>
        <v>10월</v>
      </c>
      <c r="AC37" s="562" t="str">
        <f t="shared" si="4"/>
        <v>11월</v>
      </c>
      <c r="AD37" s="562" t="str">
        <f t="shared" si="4"/>
        <v>1월</v>
      </c>
      <c r="AE37" s="562" t="str">
        <f t="shared" si="4"/>
        <v>1월</v>
      </c>
      <c r="AF37" s="562" t="str">
        <f t="shared" si="4"/>
        <v>2월</v>
      </c>
      <c r="AG37" s="562" t="str">
        <f t="shared" si="4"/>
        <v>3월</v>
      </c>
      <c r="AH37" s="562" t="str">
        <f t="shared" si="4"/>
        <v>4월</v>
      </c>
      <c r="AI37" s="562" t="str">
        <f t="shared" si="4"/>
        <v>5월</v>
      </c>
      <c r="AJ37" s="562" t="str">
        <f t="shared" si="4"/>
        <v>6월</v>
      </c>
      <c r="AK37" s="562" t="str">
        <f t="shared" si="4"/>
        <v>7월</v>
      </c>
      <c r="AL37" s="562" t="str">
        <f t="shared" si="4"/>
        <v>8월</v>
      </c>
      <c r="AM37" s="562" t="str">
        <f t="shared" si="4"/>
        <v>9월</v>
      </c>
      <c r="AN37" s="562" t="str">
        <f t="shared" si="4"/>
        <v>10월</v>
      </c>
      <c r="AO37" s="562" t="str">
        <f t="shared" si="4"/>
        <v>11월</v>
      </c>
      <c r="AP37" s="562" t="str">
        <f t="shared" si="4"/>
        <v>12월</v>
      </c>
      <c r="AQ37" s="562" t="str">
        <f t="shared" si="4"/>
        <v>1월</v>
      </c>
      <c r="AR37" s="562" t="str">
        <f t="shared" si="4"/>
        <v>2월</v>
      </c>
      <c r="AS37" s="562" t="str">
        <f t="shared" si="4"/>
        <v>3월</v>
      </c>
      <c r="AT37" s="562" t="str">
        <f t="shared" si="4"/>
        <v>4월</v>
      </c>
      <c r="AU37" s="562" t="str">
        <f t="shared" si="4"/>
        <v>5월</v>
      </c>
      <c r="AV37" s="562" t="str">
        <f>+AV36</f>
        <v>6월</v>
      </c>
      <c r="AW37" s="562" t="str">
        <f>+AW36</f>
        <v>7월</v>
      </c>
      <c r="AX37" s="562" t="str">
        <f>+AX36</f>
        <v>8월</v>
      </c>
      <c r="AY37" s="562" t="str">
        <f>+AY36</f>
        <v>9월</v>
      </c>
      <c r="AZ37" s="562" t="str">
        <f>+AZ36</f>
        <v>10월</v>
      </c>
    </row>
    <row r="38" spans="4:52" ht="21.95" customHeight="1" x14ac:dyDescent="0.3">
      <c r="F38" s="563">
        <f>+F27-F36</f>
        <v>0</v>
      </c>
      <c r="G38" s="563">
        <f>+G27-G36</f>
        <v>0</v>
      </c>
      <c r="I38" s="563">
        <f>+I27-I36</f>
        <v>0</v>
      </c>
      <c r="K38" s="563"/>
      <c r="L38" s="563"/>
      <c r="N38" s="86"/>
      <c r="R38" s="564" t="s">
        <v>195</v>
      </c>
      <c r="S38" s="362">
        <f>+IFERROR(HLOOKUP(S$36,[7]월별!$E$2:$S$67,42,),)</f>
        <v>920730.85338998202</v>
      </c>
      <c r="T38" s="362">
        <f>+IFERROR(HLOOKUP(T$36,[7]월별!$E$2:$S$67,42,),)</f>
        <v>886130.8859870329</v>
      </c>
      <c r="U38" s="362">
        <f>+IFERROR(HLOOKUP(U$36,[7]월별!$E$2:$S$67,42,),)</f>
        <v>873530.5235919673</v>
      </c>
      <c r="V38" s="362">
        <f>+IFERROR(HLOOKUP(V$36,[7]월별!$E$2:$S$67,42,),)</f>
        <v>853042.90795678552</v>
      </c>
      <c r="W38" s="362">
        <f>+IFERROR(HLOOKUP(W$36,[7]월별!$E$2:$S$67,42,),)</f>
        <v>811389.30758305453</v>
      </c>
      <c r="X38" s="362">
        <f>+IFERROR(HLOOKUP(X$36,[7]월별!$E$2:$S$67,42,),)</f>
        <v>785072.67759542307</v>
      </c>
      <c r="Y38" s="362">
        <f>+IFERROR(HLOOKUP(Y$36,[7]월별!$E$2:$S$67,42,),)</f>
        <v>751049.2097042331</v>
      </c>
      <c r="Z38" s="362">
        <f>+IFERROR(HLOOKUP(Z$36,[7]월별!$E$2:$S$67,42,),)</f>
        <v>846014.52770958561</v>
      </c>
      <c r="AA38" s="362">
        <f>+IFERROR(HLOOKUP(AA$36,[7]월별!$E$2:$S$67,42,),)</f>
        <v>879572.42936012533</v>
      </c>
      <c r="AB38" s="362">
        <f>+IFERROR(HLOOKUP(AB$36,[7]월별!$E$2:$S$67,42,),)</f>
        <v>818946.47731031897</v>
      </c>
      <c r="AC38" s="362">
        <f>+IFERROR(HLOOKUP(AC$36,[7]월별!$E$2:$S$67,42,),)</f>
        <v>798803.69146262086</v>
      </c>
      <c r="AD38" s="362">
        <f>+IFERROR(HLOOKUP(AD$36,[7]월별!$E$2:$S$67,42,),)</f>
        <v>920730.85338998202</v>
      </c>
      <c r="AE38" s="362">
        <f>+IFERROR(HLOOKUP(AE$36,[7]월별!$E$2:$S$67,42,),)</f>
        <v>920730.85338998202</v>
      </c>
      <c r="AF38" s="362">
        <f>+IFERROR(HLOOKUP(AF$36,[7]월별!$E$2:$S$67,42,),)</f>
        <v>886130.8859870329</v>
      </c>
      <c r="AG38" s="362">
        <f>+IFERROR(HLOOKUP(AG$36,[7]월별!$E$2:$S$67,42,),)</f>
        <v>873530.5235919673</v>
      </c>
      <c r="AH38" s="362">
        <f>+IFERROR(HLOOKUP(AH$36,[7]월별!$E$2:$S$67,42,),)</f>
        <v>853042.90795678552</v>
      </c>
      <c r="AI38" s="362">
        <f>+IFERROR(HLOOKUP(AI$36,[7]월별!$E$2:$S$67,42,),)</f>
        <v>811389.30758305453</v>
      </c>
      <c r="AJ38" s="362">
        <f>+IFERROR(HLOOKUP(AJ$36,[7]월별!$E$2:$S$67,42,),)</f>
        <v>785072.67759542307</v>
      </c>
      <c r="AK38" s="362">
        <f>+IFERROR(HLOOKUP(AK$36,[7]월별!$E$2:$S$67,42,),)</f>
        <v>751049.2097042331</v>
      </c>
      <c r="AL38" s="362">
        <f>+IFERROR(HLOOKUP(AL$36,[7]월별!$E$2:$S$67,42,),)</f>
        <v>846014.52770958561</v>
      </c>
      <c r="AM38" s="362">
        <f>+IFERROR(HLOOKUP(AM$36,[7]월별!$E$2:$S$67,42,),)</f>
        <v>879572.42936012533</v>
      </c>
      <c r="AN38" s="362">
        <f>+IFERROR(HLOOKUP(AN$36,[7]월별!$E$2:$S$67,42,),)</f>
        <v>818946.47731031897</v>
      </c>
      <c r="AO38" s="362">
        <f>+IFERROR(HLOOKUP(AO$36,[7]월별!$E$2:$S$67,42,),)</f>
        <v>798803.69146262086</v>
      </c>
      <c r="AP38" s="362">
        <f>+IFERROR(HLOOKUP(AP$36,[7]월별!$E$2:$S$67,42,),)</f>
        <v>752238.01942182856</v>
      </c>
      <c r="AQ38" s="362">
        <f>+IFERROR(HLOOKUP(AQ$36,[6]월별!$E$2:$S$67,43,),)</f>
        <v>756420.01123690419</v>
      </c>
      <c r="AR38" s="362">
        <f>+IFERROR(HLOOKUP(AR$36,[6]월별!$E$2:$S$67,43,),)</f>
        <v>744684.72993482568</v>
      </c>
      <c r="AS38" s="362">
        <f>+IFERROR(HLOOKUP(AS$36,[6]월별!$E$2:$S$67,43,),)</f>
        <v>736140.83983969816</v>
      </c>
      <c r="AT38" s="362">
        <f>+IFERROR(HLOOKUP(AT$36,[6]월별!$E$2:$S$67,43,),)</f>
        <v>800210.93236806407</v>
      </c>
      <c r="AU38" s="362">
        <f>+IFERROR(HLOOKUP(AU$36,[6]월별!$E$2:$S$67,43,),)</f>
        <v>798001.52569848381</v>
      </c>
      <c r="AV38" s="362">
        <f>+IFERROR(HLOOKUP(AV$36,[6]월별!$E$2:$S$67,43,),)</f>
        <v>779915.72567572771</v>
      </c>
      <c r="AW38" s="362">
        <f>+IFERROR(HLOOKUP(AW$36,[6]월별!$E$2:$S$67,43,),)</f>
        <v>794077.93162643479</v>
      </c>
      <c r="AX38" s="362">
        <f>+IFERROR(HLOOKUP(AX$36,[6]월별!$E$2:$S$67,43,),)</f>
        <v>765881.71758050087</v>
      </c>
      <c r="AY38" s="362">
        <f>+IFERROR(HLOOKUP(AY$36,[6]월별!$E$2:$S$67,43,),)</f>
        <v>791593.63411319733</v>
      </c>
      <c r="AZ38" s="362">
        <f>+IFERROR(HLOOKUP(AZ$36,[6]월별!$E$2:$S$67,43,),)</f>
        <v>809127.48025390261</v>
      </c>
    </row>
    <row r="39" spans="4:52" ht="21.95" customHeight="1" x14ac:dyDescent="0.3">
      <c r="R39" s="565" t="s">
        <v>196</v>
      </c>
      <c r="S39" s="566">
        <f>+IFERROR(HLOOKUP(S$36,[7]월별!$E$2:$S$67,43,),)</f>
        <v>0</v>
      </c>
      <c r="T39" s="566">
        <f>+IFERROR(HLOOKUP(T$36,[7]월별!$E$2:$S$67,43,),)</f>
        <v>0</v>
      </c>
      <c r="U39" s="566">
        <f>+IFERROR(HLOOKUP(U$36,[7]월별!$E$2:$S$67,43,),)</f>
        <v>0</v>
      </c>
      <c r="V39" s="566">
        <f>+IFERROR(HLOOKUP(V$36,[7]월별!$E$2:$S$67,43,),)</f>
        <v>0</v>
      </c>
      <c r="W39" s="566">
        <f>+IFERROR(HLOOKUP(W$36,[7]월별!$E$2:$S$67,43,),)</f>
        <v>0</v>
      </c>
      <c r="X39" s="566">
        <f>+IFERROR(HLOOKUP(X$36,[7]월별!$E$2:$S$67,43,),)</f>
        <v>0</v>
      </c>
      <c r="Y39" s="566">
        <f>+IFERROR(HLOOKUP(Y$36,[7]월별!$E$2:$S$67,43,),)</f>
        <v>0</v>
      </c>
      <c r="Z39" s="566">
        <f>+IFERROR(HLOOKUP(Z$36,[7]월별!$E$2:$S$67,43,),)</f>
        <v>0</v>
      </c>
      <c r="AA39" s="566">
        <f>+IFERROR(HLOOKUP(AA$36,[7]월별!$E$2:$S$67,43,),)</f>
        <v>0</v>
      </c>
      <c r="AB39" s="566">
        <f>+IFERROR(HLOOKUP(AB$36,[7]월별!$E$2:$S$67,43,),)</f>
        <v>0</v>
      </c>
      <c r="AC39" s="566">
        <f>+IFERROR(HLOOKUP(AC$36,[7]월별!$E$2:$S$67,43,),)</f>
        <v>0</v>
      </c>
      <c r="AD39" s="566">
        <f>+IFERROR(HLOOKUP(AD$36,[7]월별!$E$2:$S$67,43,),)</f>
        <v>0</v>
      </c>
      <c r="AE39" s="566">
        <f>+IFERROR(HLOOKUP(AE$36,[7]월별!$E$2:$S$67,51,),)</f>
        <v>2.7823178707229314E-2</v>
      </c>
      <c r="AF39" s="566">
        <f>+IFERROR(HLOOKUP(AF$36,[7]월별!$E$2:$S$67,51,),)</f>
        <v>2.7130154457106714E-2</v>
      </c>
      <c r="AG39" s="566">
        <f>+IFERROR(HLOOKUP(AG$36,[7]월별!$E$2:$S$67,51,),)</f>
        <v>1.8797000201944851E-2</v>
      </c>
      <c r="AH39" s="566">
        <f>+IFERROR(HLOOKUP(AH$36,[7]월별!$E$2:$S$67,51,),)</f>
        <v>1.8146921038230335E-2</v>
      </c>
      <c r="AI39" s="566">
        <f>+IFERROR(HLOOKUP(AI$36,[7]월별!$E$2:$S$67,51,),)</f>
        <v>2.5679335587291203E-2</v>
      </c>
      <c r="AJ39" s="566">
        <f>+IFERROR(HLOOKUP(AJ$36,[7]월별!$E$2:$S$67,51,),)</f>
        <v>3.7059976070507129E-2</v>
      </c>
      <c r="AK39" s="566">
        <f>+IFERROR(HLOOKUP(AK$36,[7]월별!$E$2:$S$67,51,),)</f>
        <v>8.2866316338170258E-3</v>
      </c>
      <c r="AL39" s="566">
        <f>+IFERROR(HLOOKUP(AL$36,[7]월별!$E$2:$S$67,51,),)</f>
        <v>1.8929258347069412E-2</v>
      </c>
      <c r="AM39" s="566">
        <f>+IFERROR(HLOOKUP(AM$36,[7]월별!$E$2:$S$67,51,),)</f>
        <v>1.7296509360740942E-2</v>
      </c>
      <c r="AN39" s="566">
        <f>+IFERROR(HLOOKUP(AN$36,[7]월별!$E$2:$S$67,51,),)</f>
        <v>2.3542137855523892E-2</v>
      </c>
      <c r="AO39" s="566">
        <f>+IFERROR(HLOOKUP(AO$36,[7]월별!$E$2:$S$67,51,),)</f>
        <v>2.3726716491380119E-2</v>
      </c>
      <c r="AP39" s="566">
        <f>+IFERROR(HLOOKUP(AP$36,[7]월별!$E$2:$S$67,51,),)</f>
        <v>1.4154492203434744E-2</v>
      </c>
      <c r="AQ39" s="566">
        <f>+IFERROR(HLOOKUP(AQ$36,[6]월별!$E$2:$S$67,49,),)</f>
        <v>1.7727214453804725E-2</v>
      </c>
      <c r="AR39" s="566">
        <f>+IFERROR(HLOOKUP(AR$36,[6]월별!$E$2:$S$67,49,),)</f>
        <v>1.5585145342365754E-2</v>
      </c>
      <c r="AS39" s="566">
        <f>+IFERROR(HLOOKUP(AS$36,[6]월별!$E$2:$S$67,49,),)</f>
        <v>1.4844907762880278E-3</v>
      </c>
      <c r="AT39" s="566">
        <f>+IFERROR(HLOOKUP(AT$36,[6]월별!$E$2:$S$67,49,),)</f>
        <v>1.4249312193258659E-2</v>
      </c>
      <c r="AU39" s="566">
        <f>+IFERROR(HLOOKUP(AU$36,[6]월별!$E$2:$S$67,49,),)</f>
        <v>1.6605663837480539E-2</v>
      </c>
      <c r="AV39" s="566">
        <f>+IFERROR(HLOOKUP(AV$36,[6]월별!$E$2:$S$67,49,),)</f>
        <v>2.5690430727950502E-2</v>
      </c>
      <c r="AW39" s="566">
        <f>+IFERROR(HLOOKUP(AW$36,[6]월별!$E$2:$S$67,49,),)</f>
        <v>1.3537465010160435E-2</v>
      </c>
      <c r="AX39" s="566">
        <f>+IFERROR(HLOOKUP(AX$36,[6]월별!$E$2:$S$67,49,),)</f>
        <v>2.2615170311533105E-2</v>
      </c>
      <c r="AY39" s="566">
        <f>+IFERROR(HLOOKUP(AY$36,[6]월별!$E$2:$S$67,49,),)</f>
        <v>2.4112163211421126E-2</v>
      </c>
      <c r="AZ39" s="566">
        <f>+IFERROR(HLOOKUP(AZ$36,[6]월별!$E$2:$S$67,49,),)</f>
        <v>1.5942637755550233E-2</v>
      </c>
    </row>
    <row r="40" spans="4:52" ht="21.95" customHeight="1" x14ac:dyDescent="0.3"/>
    <row r="41" spans="4:52" ht="21.95" customHeight="1" x14ac:dyDescent="0.3"/>
    <row r="42" spans="4:52" ht="21.95" customHeight="1" x14ac:dyDescent="0.3"/>
    <row r="43" spans="4:52" ht="21.95" customHeight="1" x14ac:dyDescent="0.3"/>
    <row r="44" spans="4:52" ht="21.95" customHeight="1" x14ac:dyDescent="0.3"/>
    <row r="45" spans="4:52" ht="21.95" customHeight="1" x14ac:dyDescent="0.3"/>
    <row r="46" spans="4:52" ht="21.95" customHeight="1" x14ac:dyDescent="0.3"/>
    <row r="47" spans="4:52" ht="21.95" customHeight="1" x14ac:dyDescent="0.3"/>
    <row r="48" spans="4:52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  <row r="54" ht="21.95" customHeight="1" x14ac:dyDescent="0.3"/>
    <row r="55" ht="21.95" customHeight="1" x14ac:dyDescent="0.3"/>
  </sheetData>
  <mergeCells count="4">
    <mergeCell ref="D8:E9"/>
    <mergeCell ref="F8:J8"/>
    <mergeCell ref="K8:O8"/>
    <mergeCell ref="D29:E34"/>
  </mergeCells>
  <phoneticPr fontId="1" type="noConversion"/>
  <pageMargins left="0.23622047244094491" right="0.23622047244094491" top="0.39370078740157483" bottom="0.39370078740157483" header="0.31496062992125984" footer="0.31496062992125984"/>
  <pageSetup paperSize="9" scale="7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11</vt:i4>
      </vt:variant>
    </vt:vector>
  </HeadingPairs>
  <TitlesOfParts>
    <vt:vector size="23" baseType="lpstr">
      <vt:lpstr>표지</vt:lpstr>
      <vt:lpstr>손익총괄</vt:lpstr>
      <vt:lpstr>레미콘 영업이익</vt:lpstr>
      <vt:lpstr>사업장별(당월)</vt:lpstr>
      <vt:lpstr>사업장별(누계)</vt:lpstr>
      <vt:lpstr>사업장별(당월)_건자재제외</vt:lpstr>
      <vt:lpstr>사업장별(누계)_건자재제외</vt:lpstr>
      <vt:lpstr>영업이익</vt:lpstr>
      <vt:lpstr>공헌이익</vt:lpstr>
      <vt:lpstr>재료비단가</vt:lpstr>
      <vt:lpstr>원단위</vt:lpstr>
      <vt:lpstr>건자재</vt:lpstr>
      <vt:lpstr>건자재!Print_Area</vt:lpstr>
      <vt:lpstr>공헌이익!Print_Area</vt:lpstr>
      <vt:lpstr>'레미콘 영업이익'!Print_Area</vt:lpstr>
      <vt:lpstr>'사업장별(누계)'!Print_Area</vt:lpstr>
      <vt:lpstr>'사업장별(누계)_건자재제외'!Print_Area</vt:lpstr>
      <vt:lpstr>'사업장별(당월)'!Print_Area</vt:lpstr>
      <vt:lpstr>'사업장별(당월)_건자재제외'!Print_Area</vt:lpstr>
      <vt:lpstr>손익총괄!Print_Area</vt:lpstr>
      <vt:lpstr>영업이익!Print_Area</vt:lpstr>
      <vt:lpstr>원단위!Print_Area</vt:lpstr>
      <vt:lpstr>재료비단가!Print_Area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</dc:creator>
  <cp:lastModifiedBy>tyinc</cp:lastModifiedBy>
  <cp:lastPrinted>2025-11-13T06:55:28Z</cp:lastPrinted>
  <dcterms:created xsi:type="dcterms:W3CDTF">2018-12-20T00:38:36Z</dcterms:created>
  <dcterms:modified xsi:type="dcterms:W3CDTF">2025-11-26T01:47:04Z</dcterms:modified>
</cp:coreProperties>
</file>